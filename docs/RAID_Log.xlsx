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RAID Summary" sheetId="1" state="visible" r:id="rId3"/>
    <sheet name="🔴 Risks" sheetId="2" state="visible" r:id="rId4"/>
    <sheet name="🟡 Actions" sheetId="3" state="visible" r:id="rId5"/>
    <sheet name="🟠 Issues" sheetId="4" state="visible" r:id="rId6"/>
    <sheet name="🔵 Decisions" sheetId="5" state="visible" r:id="rId7"/>
    <sheet name="📊 Risk Heat Map" sheetId="6" state="visible" r:id="rId8"/>
  </sheets>
  <definedNames>
    <definedName function="false" hidden="true" localSheetId="1" name="_xlnm._FilterDatabase" vbProcedure="false">'🔴 Risks'!$A$5:$N$5</definedName>
    <definedName function="false" hidden="true" localSheetId="4" name="_xlnm._FilterDatabase" vbProcedure="false">'🔵 Decisions'!$A$5:$M$5</definedName>
    <definedName function="false" hidden="true" localSheetId="3" name="_xlnm._FilterDatabase" vbProcedure="false">'🟠 Issues'!$A$5:$M$5</definedName>
    <definedName function="false" hidden="true" localSheetId="2" name="_xlnm._FilterDatabase" vbProcedure="false">'🟡 Actions'!$A$5:$M$5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<sst xmlns="http://schemas.openxmlformats.org/spreadsheetml/2006/main" count="745" uniqueCount="508">
  <si>
    <t xml:space="preserve">I-PROPERTY   ·   PROJECT RAID LOG</t>
  </si>
  <si>
    <t xml:space="preserve">Meridian Commercial Properties  ·  Rental Property Operations Platform  ·  Project Level  ·  Last Updated: April 2025</t>
  </si>
  <si>
    <t xml:space="preserve">Project Name</t>
  </si>
  <si>
    <t xml:space="preserve">I-Property</t>
  </si>
  <si>
    <t xml:space="preserve">Product</t>
  </si>
  <si>
    <t xml:space="preserve">Rental Property Operations Platform</t>
  </si>
  <si>
    <t xml:space="preserve">Version</t>
  </si>
  <si>
    <t xml:space="preserve">1.0</t>
  </si>
  <si>
    <t xml:space="preserve">Status</t>
  </si>
  <si>
    <t xml:space="preserve">Active — Phase 1 In Progress</t>
  </si>
  <si>
    <t xml:space="preserve">Product Owner</t>
  </si>
  <si>
    <t xml:space="preserve">VP of Property Operations</t>
  </si>
  <si>
    <t xml:space="preserve">Prepared By</t>
  </si>
  <si>
    <t xml:space="preserve">Director of Product, Technology Division</t>
  </si>
  <si>
    <t xml:space="preserve">Date</t>
  </si>
  <si>
    <t xml:space="preserve">April 2025</t>
  </si>
  <si>
    <t xml:space="preserve">RAID ITEM SUMMARY  ·  All counts are live formulas — update automatically when items are added or status changes</t>
  </si>
  <si>
    <t xml:space="preserve">RISKS</t>
  </si>
  <si>
    <t xml:space="preserve">ACTIONS</t>
  </si>
  <si>
    <t xml:space="preserve">ISSUES</t>
  </si>
  <si>
    <t xml:space="preserve">DECISIONS</t>
  </si>
  <si>
    <t xml:space="preserve">→ Sheet: 🔴 Risks</t>
  </si>
  <si>
    <t xml:space="preserve">→ Sheet: 🟡 Actions</t>
  </si>
  <si>
    <t xml:space="preserve">→ Sheet: 🟠 Issues</t>
  </si>
  <si>
    <t xml:space="preserve">→ Sheet: 🔵 Decisions</t>
  </si>
  <si>
    <t xml:space="preserve">STATUS BREAKDOWN  ·  Live formula counts by status across all RAID sheets</t>
  </si>
  <si>
    <t xml:space="preserve">Risks</t>
  </si>
  <si>
    <t xml:space="preserve">Actions</t>
  </si>
  <si>
    <t xml:space="preserve">Issues</t>
  </si>
  <si>
    <t xml:space="preserve">Decisions</t>
  </si>
  <si>
    <t xml:space="preserve">Total</t>
  </si>
  <si>
    <t xml:space="preserve">Open</t>
  </si>
  <si>
    <t xml:space="preserve">In Progress</t>
  </si>
  <si>
    <t xml:space="preserve">Monitoring</t>
  </si>
  <si>
    <t xml:space="preserve">Closed</t>
  </si>
  <si>
    <t xml:space="preserve">Escalated</t>
  </si>
  <si>
    <t xml:space="preserve">Resolved</t>
  </si>
  <si>
    <t xml:space="preserve">TOTAL</t>
  </si>
  <si>
    <t xml:space="preserve">I-PROPERTY PROJECT RAID LOG  ·  RISKS</t>
  </si>
  <si>
    <t xml:space="preserve">Risks that could negatively impact project delivery, scope, budget, or product outcomes if they occur  ·  Source: BRD v1.3 · PRD v2.0 · SRS v3.0</t>
  </si>
  <si>
    <t xml:space="preserve">Risk ID</t>
  </si>
  <si>
    <t xml:space="preserve">Category</t>
  </si>
  <si>
    <t xml:space="preserve">Risk Description</t>
  </si>
  <si>
    <t xml:space="preserve">Source Doc</t>
  </si>
  <si>
    <t xml:space="preserve">Probability
(1–5)</t>
  </si>
  <si>
    <t xml:space="preserve">Impact
(1–5)</t>
  </si>
  <si>
    <t xml:space="preserve">Risk Score
(P×I)</t>
  </si>
  <si>
    <t xml:space="preserve">Risk Level</t>
  </si>
  <si>
    <t xml:space="preserve">Current Status</t>
  </si>
  <si>
    <t xml:space="preserve">Owner</t>
  </si>
  <si>
    <t xml:space="preserve">Mitigation Strategy</t>
  </si>
  <si>
    <t xml:space="preserve">Contingency Plan</t>
  </si>
  <si>
    <t xml:space="preserve">Review Date</t>
  </si>
  <si>
    <t xml:space="preserve">Residual Risk</t>
  </si>
  <si>
    <t xml:space="preserve">R-01</t>
  </si>
  <si>
    <t xml:space="preserve">Integration</t>
  </si>
  <si>
    <t xml:space="preserve">Oracle Financial API specification unavailable or incomplete by Sprint 1 — prevents development of payment automation feature, the primary Finance ROI driver</t>
  </si>
  <si>
    <t xml:space="preserve">PRD §10 / SRS §7</t>
  </si>
  <si>
    <t xml:space="preserve">4</t>
  </si>
  <si>
    <t xml:space="preserve">5</t>
  </si>
  <si>
    <t xml:space="preserve">IT Director</t>
  </si>
  <si>
    <t xml:space="preserve">Begin OF integration scoping in Sprint 1 Week 1. Request API documentation and test environment credentials formally from OF vendor immediately after project kickoff.</t>
  </si>
  <si>
    <t xml:space="preserve">If API documentation not received by Sprint 1 Week 2: escalate to CFO. Contingency: deliver payment summary as OF-formatted Excel export for Phase 1; API integration becomes Phase 1b deliverable.</t>
  </si>
  <si>
    <t xml:space="preserve">May 2025</t>
  </si>
  <si>
    <t xml:space="preserve">High</t>
  </si>
  <si>
    <t xml:space="preserve">R-02</t>
  </si>
  <si>
    <t xml:space="preserve">Adoption</t>
  </si>
  <si>
    <t xml:space="preserve">Low user adoption — Operations and Finance teams revert to email and paper processes alongside the new system, resulting in dual-system operation with zero ROI</t>
  </si>
  <si>
    <t xml:space="preserve">PRD §10</t>
  </si>
  <si>
    <t xml:space="preserve">3</t>
  </si>
  <si>
    <t xml:space="preserve">VP Property Operations</t>
  </si>
  <si>
    <t xml:space="preserve">Mandatory directive from VP Operations: all new requests via I-Property from Day 1 of go-live. Include field officers and ABH representatives from all three California regions in UAT. Dedicated change management budget ($25K–$35K).</t>
  </si>
  <si>
    <t xml:space="preserve">Appoint regional champions from each area before go-live. If adoption &lt;70% at Day 30 post-launch: escalate to CFO with remediation plan including executive enforcement.</t>
  </si>
  <si>
    <t xml:space="preserve">Jun 2025</t>
  </si>
  <si>
    <t xml:space="preserve">Medium</t>
  </si>
  <si>
    <t xml:space="preserve">R-03</t>
  </si>
  <si>
    <t xml:space="preserve">Data Migration</t>
  </si>
  <si>
    <t xml:space="preserve">Existing landlord and property profiles not migrated before go-live — users cannot submit requests and the system cannot be used for live transactions at launch</t>
  </si>
  <si>
    <t xml:space="preserve">PRD §10 / BRD §6.1</t>
  </si>
  <si>
    <t xml:space="preserve">Director of Operations</t>
  </si>
  <si>
    <t xml:space="preserve">Data migration is a parallel workstream starting Month 1, not a pre-launch activity. Define minimum viable data set for go-live by Month 2. Build bulk import tool into Phase 1.</t>
  </si>
  <si>
    <t xml:space="preserve">If migration &lt;80% complete at UAT entry: limit go-live to new agreements only (paper agreements migrated post-launch within 30 days). Full portfolio migration required before Month 9 review.</t>
  </si>
  <si>
    <t xml:space="preserve">R-04</t>
  </si>
  <si>
    <t xml:space="preserve">Technical</t>
  </si>
  <si>
    <t xml:space="preserve">LDAP/SSO integration not available for UAT — authentication cannot be tested, blocking UAT and go-live timeline</t>
  </si>
  <si>
    <t xml:space="preserve">SRS §4.2 / PRD §7</t>
  </si>
  <si>
    <t xml:space="preserve">2</t>
  </si>
  <si>
    <t xml:space="preserve">Request LDAP test credentials and connectivity confirmation from IT Infrastructure by Sprint 1 Week 4. Schedule technical validation session with IT Infra in Week 2.</t>
  </si>
  <si>
    <t xml:space="preserve">If LDAP unavailable by Sprint 3: implement temporary local authentication for UAT only. Disable before production deployment. Document exception and get CFO sign-off.</t>
  </si>
  <si>
    <t xml:space="preserve">Low</t>
  </si>
  <si>
    <t xml:space="preserve">R-05</t>
  </si>
  <si>
    <t xml:space="preserve">Compliance</t>
  </si>
  <si>
    <t xml:space="preserve">California tax regulation changes (Sindh Sales Tax equivalent — California BOE commercial property tax) require system updates post-launch, temporarily compromising payment accuracy</t>
  </si>
  <si>
    <t xml:space="preserve">PRD §11 / SRS §7</t>
  </si>
  <si>
    <t xml:space="preserve">Director of Finance + IT</t>
  </si>
  <si>
    <t xml:space="preserve">Tax rate configuration is System Admin-editable — no IT deployment required for standard rate changes. Annual compliance review scheduled each January. Finance Director monitors CA BOE announcements.</t>
  </si>
  <si>
    <t xml:space="preserve">Finance Director notifies IT within 5 business days of any regulatory change. IT updates configuration within 2 business days. Audit log captures all tax rate changes with timestamps.</t>
  </si>
  <si>
    <t xml:space="preserve">Jan 2026</t>
  </si>
  <si>
    <t xml:space="preserve">R-06</t>
  </si>
  <si>
    <t xml:space="preserve">Financial</t>
  </si>
  <si>
    <t xml:space="preserve">Finance discovers payment export fields are incompatible with Oracle Financial import format — requiring rework after report design is complete</t>
  </si>
  <si>
    <t xml:space="preserve">PRD §10 / SRS §7.3</t>
  </si>
  <si>
    <t xml:space="preserve">Finance Director + IT</t>
  </si>
  <si>
    <t xml:space="preserve">Obtain OF import field specification from Finance and IT before report design begins (Sprint 2). Validate format with Finance in Sprint 3 before full export development.</t>
  </si>
  <si>
    <t xml:space="preserve">If incompatibility discovered in UAT: extend UAT by 2 weeks for field mapping correction. Finance Director to sign off on export format before Sprint 4 development begins.</t>
  </si>
  <si>
    <t xml:space="preserve">R-07</t>
  </si>
  <si>
    <t xml:space="preserve">Schedule</t>
  </si>
  <si>
    <t xml:space="preserve">Key project stakeholder departure (Product Owner or Finance Director) during implementation — decision authority gap stalls approvals and UAT sign-off</t>
  </si>
  <si>
    <t xml:space="preserve">PMO Lead</t>
  </si>
  <si>
    <t xml:space="preserve">Identify succession stakeholder for each key role before Sprint 1. All decisions documented in project system — institutional knowledge in documentation, not individuals.</t>
  </si>
  <si>
    <t xml:space="preserve">If Product Owner departs: CFO assumes interim Product Owner role until replacement appointed. If Finance Director departs: Senior Finance Manager steps up with CFO oversight.</t>
  </si>
  <si>
    <t xml:space="preserve">Ongoing</t>
  </si>
  <si>
    <t xml:space="preserve">R-08</t>
  </si>
  <si>
    <t xml:space="preserve">Document storage infrastructure not provisioned before UAT — file upload features cannot be tested, blocking the document management and audit trail features</t>
  </si>
  <si>
    <t xml:space="preserve">SRS §4.1 / BRD §6.1</t>
  </si>
  <si>
    <t xml:space="preserve">IT Infrastructure</t>
  </si>
  <si>
    <t xml:space="preserve">Infrastructure provisioning is a Sprint 1 Week 4 milestone. Document store configuration included in DP-001 as a go-live dependency checklist item.</t>
  </si>
  <si>
    <t xml:space="preserve">If storage not available for UAT: conduct UAT without file upload testing; schedule storage-specific UAT sprint after infrastructure is ready. Do not go-live without this capability.</t>
  </si>
  <si>
    <t xml:space="preserve">R-09</t>
  </si>
  <si>
    <t xml:space="preserve">Scope</t>
  </si>
  <si>
    <t xml:space="preserve">SLA threshold values not agreed by business before Sprint 3 — NE-14 SLA breach notifications cannot be configured, shipping without this management escalation capability</t>
  </si>
  <si>
    <t xml:space="preserve">SRS §11 / PRD §6</t>
  </si>
  <si>
    <t xml:space="preserve">Schedule SLA threshold workshop with ABH and Admin teams in Month 2 (Sprint 2). Block UAT sign-off on notification module until thresholds are confirmed and configured.</t>
  </si>
  <si>
    <t xml:space="preserve">If thresholds not agreed by Sprint 3: ship NE-14 with placeholder values (24h per stage) that can be reconfigured by System Admin post-launch without redeployment.</t>
  </si>
  <si>
    <t xml:space="preserve">R-10</t>
  </si>
  <si>
    <t xml:space="preserve">Quality</t>
  </si>
  <si>
    <t xml:space="preserve">Notification email templates not delivered by business before Sprint 3 — notification engine ships with placeholder content requiring rework and re-UAT</t>
  </si>
  <si>
    <t xml:space="preserve">SRS §11 / BRD §6.1.9</t>
  </si>
  <si>
    <t xml:space="preserve">Schedule notification template workshop with business team in Month 2. Templates are a Sprint 3 start dependency. Block UAT sign-off on notifications until all 14 templates are confirmed.</t>
  </si>
  <si>
    <t xml:space="preserve">If templates delayed past Sprint 3: notification system coded with clearly marked placeholders. Business team reviews and approves all templates before UAT Week 1, not before development.</t>
  </si>
  <si>
    <t xml:space="preserve">R-11</t>
  </si>
  <si>
    <t xml:space="preserve">Security</t>
  </si>
  <si>
    <t xml:space="preserve">Oracle Financial API key exposure risk — if API credentials are mishandled during development or testing, it could expose Meridian's financial system to unauthorized access</t>
  </si>
  <si>
    <t xml:space="preserve">SRS §7.3</t>
  </si>
  <si>
    <t xml:space="preserve">API keys stored in server-side environment variables only — never in source code, client-side code, or application logs. Rotate all credentials between UAT and production. Penetration test before go-live.</t>
  </si>
  <si>
    <t xml:space="preserve">If credential exposure suspected: immediately rotate OF API key, audit OF transaction logs for unauthorized activity, notify Finance Director and Legal within 1 hour.</t>
  </si>
  <si>
    <t xml:space="preserve">R-12</t>
  </si>
  <si>
    <t xml:space="preserve">Concurrent user load (100 users) causes system degradation — page load times exceed 3-second NFR threshold, impacting ABH and Finance workflow during month-end peak</t>
  </si>
  <si>
    <t xml:space="preserve">SRS §10 / NFR-01</t>
  </si>
  <si>
    <t xml:space="preserve">Load test with 100 virtual users (JMeter) in UAT environment before go-live. Architecture designed for horizontal scaling (stateless app tier). DB connection pool configured min 10, max 50.</t>
  </si>
  <si>
    <t xml:space="preserve">If load test fails: scale app tier before go-live (horizontal scaling, no code change required per NFR-09). If persistent: defer non-critical report features to Phase 2 to reduce peak load.</t>
  </si>
  <si>
    <t xml:space="preserve">R-13</t>
  </si>
  <si>
    <t xml:space="preserve">Legal</t>
  </si>
  <si>
    <t xml:space="preserve">Lease agreement print templates not approved by Legal before Sprint 5 — Print Queue feature cannot be UAT-validated, leaving Area Admin workflow incomplete at go-live</t>
  </si>
  <si>
    <t xml:space="preserve">SRS §8 / BRD §6.1.4</t>
  </si>
  <si>
    <t xml:space="preserve">Director of Legal</t>
  </si>
  <si>
    <t xml:space="preserve">Include print template approval as a Sprint 5 Week 1 dependency in the project plan. Legal Director assigned as template review owner from Month 1.</t>
  </si>
  <si>
    <t xml:space="preserve">If templates not approved by Sprint 5 Week 1: delay Print Queue UAT to the final UAT week. If still unresolved: go-live without Print Queue (Area Admin continues printing manually until templates approved — max 30-day deferral).</t>
  </si>
  <si>
    <t xml:space="preserve">R-14</t>
  </si>
  <si>
    <t xml:space="preserve">Vendor</t>
  </si>
  <si>
    <t xml:space="preserve">Oracle Financial experiences unplanned downtime during Meridian's monthly payment cycle — Finance cannot process payments, creating cash flow disruption</t>
  </si>
  <si>
    <t xml:space="preserve">PRD §5 / SRS §7.3</t>
  </si>
  <si>
    <t xml:space="preserve">1</t>
  </si>
  <si>
    <t xml:space="preserve">I-Property generates and stores approved payment batch regardless of OF availability. Retry policy: 3 attempts at 10-minute intervals with exponential backoff. System Admin alerted on all retry failures.</t>
  </si>
  <si>
    <t xml:space="preserve">If OF down at month-end: Finance Director notified immediately. Payment batch held in I-Property with approved status. Finance processes manually in OF once restored using I-Property export. Maximum 48-hour deferral acceptable.</t>
  </si>
  <si>
    <t xml:space="preserve">Monthly</t>
  </si>
  <si>
    <t xml:space="preserve">I-PROPERTY PROJECT RAID LOG  ·  ACTIONS</t>
  </si>
  <si>
    <t xml:space="preserve">Actions required to deliver the project, resolve risks/issues, or fulfill commitments made in BRD, PRD, and SRS  ·  Source: BRD v1.3 · PRD v2.0 · SRS v3.0</t>
  </si>
  <si>
    <t xml:space="preserve">Action ID</t>
  </si>
  <si>
    <t xml:space="preserve">Action Description</t>
  </si>
  <si>
    <t xml:space="preserve">Source / Trigger</t>
  </si>
  <si>
    <t xml:space="preserve">Assigned To</t>
  </si>
  <si>
    <t xml:space="preserve">Priority</t>
  </si>
  <si>
    <t xml:space="preserve">Due Date</t>
  </si>
  <si>
    <t xml:space="preserve">Completion Date</t>
  </si>
  <si>
    <t xml:space="preserve">Outcome / Notes</t>
  </si>
  <si>
    <t xml:space="preserve">BRD Ref</t>
  </si>
  <si>
    <t xml:space="preserve">SRS Ref</t>
  </si>
  <si>
    <t xml:space="preserve">A-01</t>
  </si>
  <si>
    <t xml:space="preserve">Obtain Oracle Financial API specification document and request test environment access from OF vendor</t>
  </si>
  <si>
    <t xml:space="preserve">Risk R-01 / PRD M-02</t>
  </si>
  <si>
    <t xml:space="preserve">IT Integration Lead</t>
  </si>
  <si>
    <t xml:space="preserve">30-Apr-2025</t>
  </si>
  <si>
    <t xml:space="preserve">Blocking Sprint 4 development start. Must be escalated to CFO if not received by Sprint 1 Week 2.</t>
  </si>
  <si>
    <t xml:space="preserve">§6 Integration</t>
  </si>
  <si>
    <t xml:space="preserve">A-02</t>
  </si>
  <si>
    <t xml:space="preserve">Validate Oracle Financial payment export field mapping against OF import specification before Sprint 4 development begins</t>
  </si>
  <si>
    <t xml:space="preserve">Risk R-06 / SRS §7.3</t>
  </si>
  <si>
    <t xml:space="preserve">Finance Director</t>
  </si>
  <si>
    <t xml:space="preserve">Finance Systems Analyst</t>
  </si>
  <si>
    <t xml:space="preserve">15-May-2025</t>
  </si>
  <si>
    <t xml:space="preserve">Finance Director must sign off on field mapping document. No Sprint 4 payment work begins without this approval.</t>
  </si>
  <si>
    <t xml:space="preserve">§6.1.8</t>
  </si>
  <si>
    <t xml:space="preserve">A-03</t>
  </si>
  <si>
    <t xml:space="preserve">Infrastructure</t>
  </si>
  <si>
    <t xml:space="preserve">Provision application server, database server, and document storage for development and UAT environments</t>
  </si>
  <si>
    <t xml:space="preserve">Risk R-08 / PRD M-02</t>
  </si>
  <si>
    <t xml:space="preserve">IT Infrastructure Lead</t>
  </si>
  <si>
    <t xml:space="preserve">Must be complete before Sprint 1 ends. Development cannot begin without environments. Confirm with IT Infra weekly.</t>
  </si>
  <si>
    <t xml:space="preserve">§5 Constraints</t>
  </si>
  <si>
    <t xml:space="preserve">SRS §4.1</t>
  </si>
  <si>
    <t xml:space="preserve">A-04</t>
  </si>
  <si>
    <t xml:space="preserve">Authentication</t>
  </si>
  <si>
    <t xml:space="preserve">Confirm LDAP/SSO connectivity from application server and obtain test credentials for authentication development</t>
  </si>
  <si>
    <t xml:space="preserve">Risk R-04 / SRS §4.2</t>
  </si>
  <si>
    <t xml:space="preserve">Required before Sprint 2 authentication development begins. If unavailable: document temporary local auth fallback procedure.</t>
  </si>
  <si>
    <t xml:space="preserve">SRS §4.2</t>
  </si>
  <si>
    <t xml:space="preserve">A-05</t>
  </si>
  <si>
    <t xml:space="preserve">Define minimum viable landlord and property data set required for UAT go-live; assign data migration workstream owner</t>
  </si>
  <si>
    <t xml:space="preserve">Risk R-03 / PRD M-03</t>
  </si>
  <si>
    <t xml:space="preserve">Operations Data Lead</t>
  </si>
  <si>
    <t xml:space="preserve">08-May-2025</t>
  </si>
  <si>
    <t xml:space="preserve">Data migration must be a parallel workstream from Month 1 — not a pre-launch sprint. Bulk import tool to be built into Phase 1 scope.</t>
  </si>
  <si>
    <t xml:space="preserve">§6 Assumptions</t>
  </si>
  <si>
    <t xml:space="preserve">SRS §9</t>
  </si>
  <si>
    <t xml:space="preserve">A-06</t>
  </si>
  <si>
    <t xml:space="preserve">Create landlord and property profile data import templates; distribute to Area Operations teams for data collection</t>
  </si>
  <si>
    <t xml:space="preserve">Risk R-03</t>
  </si>
  <si>
    <t xml:space="preserve">Templates must match I-Property field definitions in SRS §9. QA review of template before distribution.</t>
  </si>
  <si>
    <t xml:space="preserve">SRS §9.3</t>
  </si>
  <si>
    <t xml:space="preserve">A-07</t>
  </si>
  <si>
    <t xml:space="preserve">Business Requirements</t>
  </si>
  <si>
    <t xml:space="preserve">Conduct notification email template workshop with business team; produce and approve all 14 notification templates before Sprint 3</t>
  </si>
  <si>
    <t xml:space="preserve">Risk R-10 / SRS §11</t>
  </si>
  <si>
    <t xml:space="preserve">Business Analyst</t>
  </si>
  <si>
    <t xml:space="preserve">22-May-2025</t>
  </si>
  <si>
    <t xml:space="preserve">All 14 NE-ID templates (TPL-01 through TPL-14) must be approved before notification engine development begins. Workshop scheduled for Month 2.</t>
  </si>
  <si>
    <t xml:space="preserve">§6.1.11</t>
  </si>
  <si>
    <t xml:space="preserve">SRS §11</t>
  </si>
  <si>
    <t xml:space="preserve">A-08</t>
  </si>
  <si>
    <t xml:space="preserve">Agree and document SLA threshold values for each approval stage (ABH, Director, Admin HO) with business stakeholders</t>
  </si>
  <si>
    <t xml:space="preserve">Risk R-09 / SRS §10</t>
  </si>
  <si>
    <t xml:space="preserve">SLA thresholds configure NE-14 breach alerts. Must be agreed before Sprint 3. Default placeholder: 24h per stage pending agreement.</t>
  </si>
  <si>
    <t xml:space="preserve">§6.1.9</t>
  </si>
  <si>
    <t xml:space="preserve">SRS §10</t>
  </si>
  <si>
    <t xml:space="preserve">A-09</t>
  </si>
  <si>
    <t xml:space="preserve">Obtain Legal Director approval of lease agreement print templates for use in I-Property Print Queue feature</t>
  </si>
  <si>
    <t xml:space="preserve">Risk R-13 / BRD §6.1.4</t>
  </si>
  <si>
    <t xml:space="preserve">Legal Counsel</t>
  </si>
  <si>
    <t xml:space="preserve">15-Jun-2025</t>
  </si>
  <si>
    <t xml:space="preserve">Templates required before Sprint 5 Print Queue UAT. Legal Director is sole approver. Escalate to CFO if approval delayed beyond Sprint 5 start.</t>
  </si>
  <si>
    <t xml:space="preserve">§6.1.4</t>
  </si>
  <si>
    <t xml:space="preserve">SRS §8</t>
  </si>
  <si>
    <t xml:space="preserve">A-10</t>
  </si>
  <si>
    <t xml:space="preserve">Architecture</t>
  </si>
  <si>
    <t xml:space="preserve">Complete Software Architecture Document (SAD-001) covering technology stack, deployment model, authentication design, and integration architecture</t>
  </si>
  <si>
    <t xml:space="preserve">PRD §1 Related Docs</t>
  </si>
  <si>
    <t xml:space="preserve">Solution Architect</t>
  </si>
  <si>
    <t xml:space="preserve">SAD-001 is a pre-development dependency. No Sprint 1 development begins without architecture decisions confirmed.</t>
  </si>
  <si>
    <t xml:space="preserve">All sections</t>
  </si>
  <si>
    <t xml:space="preserve">SRS §4</t>
  </si>
  <si>
    <t xml:space="preserve">A-11</t>
  </si>
  <si>
    <t xml:space="preserve">Design</t>
  </si>
  <si>
    <t xml:space="preserve">Complete UI/UX Design Specification (UI-001) covering all 13 screens, wireframes, component library, and interaction patterns</t>
  </si>
  <si>
    <t xml:space="preserve">UX Lead</t>
  </si>
  <si>
    <t xml:space="preserve">30-May-2025</t>
  </si>
  <si>
    <t xml:space="preserve">UI-001 must be complete before frontend development of any screen begins. Review with each persona role group during design phase.</t>
  </si>
  <si>
    <t xml:space="preserve">A-12</t>
  </si>
  <si>
    <t xml:space="preserve">Conduct pre-production penetration test covering authentication, RBAC, data encryption, and API security</t>
  </si>
  <si>
    <t xml:space="preserve">SRS §10 NFR-03/04/05</t>
  </si>
  <si>
    <t xml:space="preserve">External Security Consultant</t>
  </si>
  <si>
    <t xml:space="preserve">01-Jul-2025</t>
  </si>
  <si>
    <t xml:space="preserve">Required before production go-live. Must cover: JWT token security, RBAC enforcement, TLS configuration, bank_account_no masking, audit log integrity.</t>
  </si>
  <si>
    <t xml:space="preserve">§6.2</t>
  </si>
  <si>
    <t xml:space="preserve">A-13</t>
  </si>
  <si>
    <t xml:space="preserve">Testing</t>
  </si>
  <si>
    <t xml:space="preserve">Execute cross-browser test suite (Chrome, Firefox, Edge — last 3 versions) before UAT entry</t>
  </si>
  <si>
    <t xml:space="preserve">SRS §10 NFR-07</t>
  </si>
  <si>
    <t xml:space="preserve">QA Lead</t>
  </si>
  <si>
    <t xml:space="preserve">QA Engineers</t>
  </si>
  <si>
    <t xml:space="preserve">Automated Selenium/Playwright suite. IE11 smoke test: submit, approve, export. Must pass before UAT gates open.</t>
  </si>
  <si>
    <t xml:space="preserve">A-14</t>
  </si>
  <si>
    <t xml:space="preserve">Conduct load test with 100 virtual users (JMeter) in UAT environment and verify P95 response time ≤ 500ms</t>
  </si>
  <si>
    <t xml:space="preserve">SRS §10 NFR-01</t>
  </si>
  <si>
    <t xml:space="preserve">QA / Performance Lead</t>
  </si>
  <si>
    <t xml:space="preserve">15-Jul-2025</t>
  </si>
  <si>
    <t xml:space="preserve">If test fails: scale app tier horizontally before go-live. Results to be included in go-live sign-off documentation.</t>
  </si>
  <si>
    <t xml:space="preserve">A-15</t>
  </si>
  <si>
    <t xml:space="preserve">Change Management</t>
  </si>
  <si>
    <t xml:space="preserve">Develop and deliver role-specific training program for all 7 user roles before go-live</t>
  </si>
  <si>
    <t xml:space="preserve">PRD §9.3 Adoption</t>
  </si>
  <si>
    <t xml:space="preserve">Product Owner + Operations</t>
  </si>
  <si>
    <t xml:space="preserve">01-Aug-2025</t>
  </si>
  <si>
    <t xml:space="preserve">Training must cover: role-specific screens, key workflows, what changes from current process. Each role group requires separate session. Confirm attendance before go-live gate.</t>
  </si>
  <si>
    <t xml:space="preserve">SRS §3</t>
  </si>
  <si>
    <t xml:space="preserve">A-16</t>
  </si>
  <si>
    <t xml:space="preserve">Go-Live</t>
  </si>
  <si>
    <t xml:space="preserve">Obtain VP Property Operations mandatory adoption directive — formal instruction that all new requests must be submitted via I-Property from Day 1 of go-live</t>
  </si>
  <si>
    <t xml:space="preserve">PRD §10 Risk R-02</t>
  </si>
  <si>
    <t xml:space="preserve">Written directive required before go-live. Circulated to all Area Operations managers and Finance. Non-compliance escalation path defined.</t>
  </si>
  <si>
    <t xml:space="preserve">—</t>
  </si>
  <si>
    <t xml:space="preserve">A-17</t>
  </si>
  <si>
    <t xml:space="preserve">Post-Launch</t>
  </si>
  <si>
    <t xml:space="preserve">Schedule 90-day post-launch review against PRD Section 9 success metrics; prepare measurement instrumentation before go-live</t>
  </si>
  <si>
    <t xml:space="preserve">PRD §9</t>
  </si>
  <si>
    <t xml:space="preserve">Business Analyst + IT</t>
  </si>
  <si>
    <t xml:space="preserve">01-Nov-2025</t>
  </si>
  <si>
    <t xml:space="preserve">Measurement framework must be in place at launch, not after. Metrics: cycle time, duplicate payments, Finance verification time, adoption rate, audit evidence time.</t>
  </si>
  <si>
    <t xml:space="preserve">I-PROPERTY PROJECT RAID LOG  ·  ISSUES</t>
  </si>
  <si>
    <t xml:space="preserve">Issues are problems that have already occurred or are currently affecting the project — requiring immediate action or management decision  ·  Source: BRD v1.3 · PRD v2.0 · SRS v3.0</t>
  </si>
  <si>
    <t xml:space="preserve">Issue ID</t>
  </si>
  <si>
    <t xml:space="preserve">Issue Description</t>
  </si>
  <si>
    <t xml:space="preserve">Source / How Identified</t>
  </si>
  <si>
    <t xml:space="preserve">Impact</t>
  </si>
  <si>
    <t xml:space="preserve">Severity</t>
  </si>
  <si>
    <t xml:space="preserve">Date Raised</t>
  </si>
  <si>
    <t xml:space="preserve">Target Resolution</t>
  </si>
  <si>
    <t xml:space="preserve">Resolution / Outcome</t>
  </si>
  <si>
    <t xml:space="preserve">ISS-01</t>
  </si>
  <si>
    <t xml:space="preserve">Requirements</t>
  </si>
  <si>
    <t xml:space="preserve">BRD v1.3 stakeholder table has all contact names and email fields blank — roles are defined but individuals are not named, preventing notification routing and ownership assignment</t>
  </si>
  <si>
    <t xml:space="preserve">Identified during BRD review / SRS preparation</t>
  </si>
  <si>
    <t xml:space="preserve">Cannot assign individual ownership to approval roles. Notification email targets cannot be configured. RBAC user provisioning blocked.</t>
  </si>
  <si>
    <t xml:space="preserve">01-Apr-2025</t>
  </si>
  <si>
    <t xml:space="preserve">14-Apr-2025</t>
  </si>
  <si>
    <t xml:space="preserve">Product Owner to collect names and email addresses for all 7 stakeholder roles. System Admin to provision LDAP accounts. Deadline: Sprint 1 Week 2.</t>
  </si>
  <si>
    <t xml:space="preserve">§3 Stakeholders</t>
  </si>
  <si>
    <t xml:space="preserve">SRS §3.2</t>
  </si>
  <si>
    <t xml:space="preserve">ISS-02</t>
  </si>
  <si>
    <t xml:space="preserve">BRD v1.3 states 'Events list for notification generation and Report formats will be shared by business' (§6.1.11) but this has not been delivered — SRS v3.0 has been written with assumptions</t>
  </si>
  <si>
    <t xml:space="preserve">BRD §6.1.11 / PRD §13</t>
  </si>
  <si>
    <t xml:space="preserve">Notification templates (14 events) and report format specifications are based on BA assumptions, not confirmed business requirements. Risk of rework during UAT.</t>
  </si>
  <si>
    <t xml:space="preserve">Business to review and formally approve all 14 notification templates (SRS §11) and all report formats (SRS §5.5) before Sprint 3. See Action A-07.</t>
  </si>
  <si>
    <t xml:space="preserve">ISS-03</t>
  </si>
  <si>
    <t xml:space="preserve">BRD v1.3 and SRS v3.0 both reference the process flow diagram placeholder ('Process Flow diagram would be here') — no actual workflow diagrams exist yet</t>
  </si>
  <si>
    <t xml:space="preserve">BRD §6.1.7 / SRS §6</t>
  </si>
  <si>
    <t xml:space="preserve">Development team cannot build the workflow engine without confirmed sequence diagrams. SDD-001 cannot be started without workflow diagrams.</t>
  </si>
  <si>
    <t xml:space="preserve">BA to produce formal workflow diagrams (BPMN or equivalent) for all 4 primary flows: New Request, Renewal, Vacated, Utility Bill. Must be reviewed and signed off by Product Owner before SDD-001 begins.</t>
  </si>
  <si>
    <t xml:space="preserve">§6.1.7</t>
  </si>
  <si>
    <t xml:space="preserve">SRS §6</t>
  </si>
  <si>
    <t xml:space="preserve">ISS-04</t>
  </si>
  <si>
    <t xml:space="preserve">BRD v1.3 §6.1.5 includes Signage Payment module in the main requirements body despite also being listed as Phase 2 — creates scope ambiguity for development team</t>
  </si>
  <si>
    <t xml:space="preserve">BRD §6.1.5 vs §2.1</t>
  </si>
  <si>
    <t xml:space="preserve">Development team may build signage features in Phase 1 unless scope is explicitly clarified. Risk of over-delivery and schedule overrun.</t>
  </si>
  <si>
    <t xml:space="preserve">Product Owner to issue formal scope clarification: Signage module (F-19) is Phase 2 only. SRS v3.0 FR-SG-01 to FR-SG-04 are Phase 2. Remove from Phase 1 sprint planning immediately.</t>
  </si>
  <si>
    <t xml:space="preserve">§2.1 / §6.1.5</t>
  </si>
  <si>
    <t xml:space="preserve">SRS §5.5</t>
  </si>
  <si>
    <t xml:space="preserve">ISS-05</t>
  </si>
  <si>
    <t xml:space="preserve">Oracle Financial integration specification (IDD-001) has not been started — all SRS §7 API contracts for OF endpoints are based on assumed field mappings, not confirmed OF specifications</t>
  </si>
  <si>
    <t xml:space="preserve">SRS §7 / PRD §13</t>
  </si>
  <si>
    <t xml:space="preserve">Payment batch transmission (INT-01), expense accrual (INT-03), and payment confirmation (INT-02) may require significant rework if OF field names, authentication, or payload structure differ from assumptions.</t>
  </si>
  <si>
    <t xml:space="preserve">IT Director to formally request OF API documentation this week. IDD-001 must be started within Sprint 1. All SRS §7 OF endpoint specifications to be validated against actual OF API before Sprint 4. See Action A-01 and A-02.</t>
  </si>
  <si>
    <t xml:space="preserve">SRS §7</t>
  </si>
  <si>
    <t xml:space="preserve">ISS-06</t>
  </si>
  <si>
    <t xml:space="preserve">Document</t>
  </si>
  <si>
    <t xml:space="preserve">SRS v3.0 §5.1 (FR-NR-01 processing logic) references a 'working day calendar' for the month-end payment scheduler — no calendar configuration mechanism is specified or scoped</t>
  </si>
  <si>
    <t xml:space="preserve">SRS §5.5 / BRD §6.1.7</t>
  </si>
  <si>
    <t xml:space="preserve">Payment summary will generate on incorrect dates if public holidays and non-working days are not accounted for. California has specific public holidays.</t>
  </si>
  <si>
    <t xml:space="preserve">Add working day calendar configuration to System Admin console scope (SCR-13 or new SCR-14). Finance Director to provide annual California working day calendar. IT to confirm whether this requires a new feature or a configuration file.</t>
  </si>
  <si>
    <t xml:space="preserve">ISS-07</t>
  </si>
  <si>
    <t xml:space="preserve">Budget</t>
  </si>
  <si>
    <t xml:space="preserve">Phase 1 investment range ($520K–$640K) in PRD §5.2 has not been formally approved by CFO — project has been scoped but investment authorization is pending</t>
  </si>
  <si>
    <t xml:space="preserve">PRD §14 / §5.2</t>
  </si>
  <si>
    <t xml:space="preserve">Development cannot be formally commissioned without investment approval. Sprint 1 resourcing at risk.</t>
  </si>
  <si>
    <t xml:space="preserve">CFO</t>
  </si>
  <si>
    <t xml:space="preserve">PRD v2.0 submitted to CFO for review and investment authorization. Target: approval by April 14, 2025 to maintain Q3 2025 go-live timeline. See Action A-16.</t>
  </si>
  <si>
    <t xml:space="preserve">PRD §5.2</t>
  </si>
  <si>
    <t xml:space="preserve">ISS-08</t>
  </si>
  <si>
    <t xml:space="preserve">SRS v3.0 NFR-07 specifies IE11 minimum legacy support — however, IE11 was officially retired by Microsoft in June 2022 and is not supported by most modern JavaScript frameworks</t>
  </si>
  <si>
    <t xml:space="preserve">If the development team's chosen framework (React or equivalent) does not support IE11, this NFR cannot be met as written. Requires product decision.</t>
  </si>
  <si>
    <t xml:space="preserve">Product Owner + IT Director</t>
  </si>
  <si>
    <t xml:space="preserve">22-Apr-2025</t>
  </si>
  <si>
    <t xml:space="preserve">Product Owner to make a formal decision: retain IE11 support (requires polyfills and may limit framework choices) or descope IE11 and replace with 'last 3 versions of Edge, Chrome, Firefox' as the compatibility standard. Decision required before architecture is finalized.</t>
  </si>
  <si>
    <t xml:space="preserve">ISS-09</t>
  </si>
  <si>
    <t xml:space="preserve">SRS v3.0 NFR-08 targets WCAG 2.1 AA accessibility — however, UI-001 has not been started and no UX designer has formally committed to this standard</t>
  </si>
  <si>
    <t xml:space="preserve">SRS §10 NFR-08</t>
  </si>
  <si>
    <t xml:space="preserve">If accessibility is not designed into UI-001 from the start, retrofitting it post-design is expensive and time-consuming.</t>
  </si>
  <si>
    <t xml:space="preserve">UX Lead + Product Owner</t>
  </si>
  <si>
    <t xml:space="preserve">UX Lead to formally acknowledge WCAG 2.1 AA as a design constraint before UI-001 begins. Include accessibility review checkpoint after each UI-001 design sprint. Confirm whether automated accessibility testing tool (axe, Lighthouse) will be included in UAT test suite.</t>
  </si>
  <si>
    <t xml:space="preserve">ISS-10</t>
  </si>
  <si>
    <t xml:space="preserve">Process</t>
  </si>
  <si>
    <t xml:space="preserve">No Change Request process has been defined for post-PRD scope changes — BRD and SRS changes are currently uncontrolled, creating version management risk</t>
  </si>
  <si>
    <t xml:space="preserve">PRD §14</t>
  </si>
  <si>
    <t xml:space="preserve">Any uncontrolled scope change after executive approval could silently expand Phase 1 scope, delay go-live, and erode the investment ROI.</t>
  </si>
  <si>
    <t xml:space="preserve">PMO Lead to define and publish Change Request template and approval process by Sprint 1 Week 1. All changes to BRD v1.3, SRS v3.0, or PRD v2.0 scope after executive approval require formal CR with CFO and Product Owner sign-off.</t>
  </si>
  <si>
    <t xml:space="preserve">ISS-11</t>
  </si>
  <si>
    <t xml:space="preserve">Data</t>
  </si>
  <si>
    <t xml:space="preserve">There is no data governance policy for I-Property specifying who owns landlord and property data, who can edit master records, and what the correction process is for financial data errors</t>
  </si>
  <si>
    <t xml:space="preserve">SRS §9 / BRD §6.1</t>
  </si>
  <si>
    <t xml:space="preserve">Without a data governance policy, the system of record value of I-Property is undermined — multiple parties may edit data without a controlled process, reintroducing the errors the system is designed to eliminate.</t>
  </si>
  <si>
    <t xml:space="preserve">VP Operations and Finance Director to produce a one-page I-Property Data Governance Policy covering: data ownership by entity, edit permissions by role, financial data correction process (including audit trail requirements), and data quality review cadence. Required before UAT.</t>
  </si>
  <si>
    <t xml:space="preserve">I-PROPERTY PROJECT RAID LOG  ·  DECISIONS</t>
  </si>
  <si>
    <t xml:space="preserve">Decisions required from project leadership or stakeholders — pending decisions create blockers; made decisions are recorded for audit and change management  ·  Source: BRD v1.3 · PRD v2.0 · SRS v3.0</t>
  </si>
  <si>
    <t xml:space="preserve">Decision ID</t>
  </si>
  <si>
    <t xml:space="preserve">Decision Required / Made</t>
  </si>
  <si>
    <t xml:space="preserve">Options Considered</t>
  </si>
  <si>
    <t xml:space="preserve">Decision Made</t>
  </si>
  <si>
    <t xml:space="preserve">Rationale</t>
  </si>
  <si>
    <t xml:space="preserve">Decision Owner</t>
  </si>
  <si>
    <t xml:space="preserve">Date Required</t>
  </si>
  <si>
    <t xml:space="preserve">Date Decided</t>
  </si>
  <si>
    <t xml:space="preserve">Impact if Not Decided</t>
  </si>
  <si>
    <t xml:space="preserve">D-01</t>
  </si>
  <si>
    <t xml:space="preserve">Investment</t>
  </si>
  <si>
    <t xml:space="preserve">Formal investment approval for Phase 1 ($520K–$640K) and authorization to commence development</t>
  </si>
  <si>
    <t xml:space="preserve">PRD §5.2 / §14</t>
  </si>
  <si>
    <t xml:space="preserve">A) Approve full Phase 1 scope; B) Approve Phase 1 with reduced scope (defer some Should Have features); C) Defer project</t>
  </si>
  <si>
    <t xml:space="preserve">PENDING DECISION</t>
  </si>
  <si>
    <t xml:space="preserve">Without approval, Sprint 1 resourcing and vendor contracts cannot be committed. Q3 2025 go-live timeline at risk if decision delayed past April 14.</t>
  </si>
  <si>
    <t xml:space="preserve">Project stalls. No development commences. Q3 2025 go-live impossible.</t>
  </si>
  <si>
    <t xml:space="preserve">PRD §5</t>
  </si>
  <si>
    <t xml:space="preserve">D-02</t>
  </si>
  <si>
    <t xml:space="preserve">Technology stack selection for application layer and database — must be confirmed before SDD-001 and Sprint 1 development begin</t>
  </si>
  <si>
    <t xml:space="preserve">SRS §4.1 / SAD-001</t>
  </si>
  <si>
    <t xml:space="preserve">A) Node.js + PostgreSQL; B) Java Spring + Oracle DB; C) .NET Core + SQL Server; D) Other</t>
  </si>
  <si>
    <t xml:space="preserve">PENDING — IT Director to decide</t>
  </si>
  <si>
    <t xml:space="preserve">Architecture decision drives developer hiring/allocation, framework selection, and Oracle Financial integration approach. Deadline: SAD-001 completion.</t>
  </si>
  <si>
    <t xml:space="preserve">SDD-001 cannot be written. Sprint 1 development cannot begin. Architecture-dependent SRS sections remain unresolved.</t>
  </si>
  <si>
    <t xml:space="preserve">D-03</t>
  </si>
  <si>
    <t xml:space="preserve">Formal scope clarification: is Signage Payment module (BRD §6.1.5) in Phase 1 or Phase 2?</t>
  </si>
  <si>
    <t xml:space="preserve">BRD §6.1.5 / PRD §8</t>
  </si>
  <si>
    <t xml:space="preserve">A) Include in Phase 1 (extends schedule ~4 weeks); B) Confirm as Phase 2 only (aligned with PRD v2.0)</t>
  </si>
  <si>
    <t xml:space="preserve">PENDING — Product Owner to decide</t>
  </si>
  <si>
    <t xml:space="preserve">BRD §6.1.5 includes signage in main requirements body, creating development team ambiguity. PRD v2.0 explicitly classifies as Phase 2 (F-19). Requires formal written clarification.</t>
  </si>
  <si>
    <t xml:space="preserve">Development team may include signage in Phase 1 sprint planning, creating uncontrolled scope expansion and schedule overrun.</t>
  </si>
  <si>
    <t xml:space="preserve">§6.1.5</t>
  </si>
  <si>
    <t xml:space="preserve">D-04</t>
  </si>
  <si>
    <t xml:space="preserve">IE11 compatibility decision: retain IE11 minimum support as stated in SRS NFR-07, or replace with 'last 3 versions of modern browsers only'</t>
  </si>
  <si>
    <t xml:space="preserve">SRS §10 NFR-07 / Issue ISS-08</t>
  </si>
  <si>
    <t xml:space="preserve">A) Retain IE11 support (requires polyfills, limits framework choices, increases dev cost ~$15K–$25K); B) Descope IE11 — Chrome, Firefox, Edge last 3 versions only</t>
  </si>
  <si>
    <t xml:space="preserve">PENDING — Product Owner + IT Director</t>
  </si>
  <si>
    <t xml:space="preserve">Microsoft retired IE11 June 2022. Most modern JS frameworks do not support it. Retaining it constrains technology choices and adds significant testing overhead for &lt;1% of modern enterprise browser usage.</t>
  </si>
  <si>
    <t xml:space="preserve">Architecture and framework selection cannot be finalized. Development team cannot proceed with confidence on frontend stack.</t>
  </si>
  <si>
    <t xml:space="preserve">D-05</t>
  </si>
  <si>
    <t xml:space="preserve">Oracle Financial integration approach: real-time REST API vs. scheduled batch file transfer</t>
  </si>
  <si>
    <t xml:space="preserve">SRS §7.3 / IDD-001</t>
  </si>
  <si>
    <t xml:space="preserve">A) REST API (real-time payment confirmation, lower latency, more complex); B) Batch file (simpler, proven, 24-hour payment confirmation lag); C) Hybrid (API for stop-payment alerts, batch for monthly summaries)</t>
  </si>
  <si>
    <t xml:space="preserve">PENDING — IT Director + Finance Director</t>
  </si>
  <si>
    <t xml:space="preserve">Decision impacts IDD-001 design, Sprint 4 development timeline, and Finance's real-time visibility into payment confirmations. OF vendor to advise on their preferred/supported integration pattern.</t>
  </si>
  <si>
    <t xml:space="preserve">IT Director + Finance Director</t>
  </si>
  <si>
    <t xml:space="preserve">IDD-001 cannot be written. Sprint 4 OF integration development cannot begin. Finance payment workflow design incomplete.</t>
  </si>
  <si>
    <t xml:space="preserve">D-06</t>
  </si>
  <si>
    <t xml:space="preserve">Authentication architecture: OAuth 2.0 vs. SAML 2.0 for LDAP/SSO integration</t>
  </si>
  <si>
    <t xml:space="preserve">SRS §4.2 / SAD-001</t>
  </si>
  <si>
    <t xml:space="preserve">A) OAuth 2.0 + OIDC (modern, REST-native, widely supported); B) SAML 2.0 (enterprise standard, Meridian's existing SSO may use this); C) Both (if Meridian uses multiple IdP systems)</t>
  </si>
  <si>
    <t xml:space="preserve">PENDING — IT Director</t>
  </si>
  <si>
    <t xml:space="preserve">Decision depends on Meridian's existing Identity Provider (Okta, Azure AD, or on-prem LDAP). IT Director to confirm with IT Infrastructure team.</t>
  </si>
  <si>
    <t xml:space="preserve">Authentication development cannot begin. All user-facing features depend on this. LDAP connectivity confirmation (Action A-04) is a prerequisite for this decision.</t>
  </si>
  <si>
    <t xml:space="preserve">D-07</t>
  </si>
  <si>
    <t xml:space="preserve">WCAG 2.1 AA accessibility commitment: formal confirmation that UI-001 will be designed to this standard</t>
  </si>
  <si>
    <t xml:space="preserve">SRS §10 NFR-08 / Issue ISS-09</t>
  </si>
  <si>
    <t xml:space="preserve">A) Commit to WCAG 2.1 AA (recommended; increases design effort ~10–15%); B) Target WCAG 2.1 A only; C) No formal accessibility commitment in Phase 1</t>
  </si>
  <si>
    <t xml:space="preserve">PENDING — Product Owner + UX Lead</t>
  </si>
  <si>
    <t xml:space="preserve">California Government Code §11546.7 applies to state entities; Meridian as a private company is subject to ADA Title III for public accommodations. Internal tools have more flexibility, but institutional investor due diligence increasingly includes accessibility.</t>
  </si>
  <si>
    <t xml:space="preserve">UX Lead cannot make design decisions without this commitment. Retrofitting accessibility post-design is 3–5× more expensive than designing for it from the start.</t>
  </si>
  <si>
    <t xml:space="preserve">D-08</t>
  </si>
  <si>
    <t xml:space="preserve">Data governance policy: who can edit master landlord and property records, and what is the financial data correction process?</t>
  </si>
  <si>
    <t xml:space="preserve">Issue ISS-11 / SRS §9</t>
  </si>
  <si>
    <t xml:space="preserve">A) Strict: only System Admin edits master records; B) Moderate: System Admin + authorized Operations managers; C) Open: any authorized role per RBAC</t>
  </si>
  <si>
    <t xml:space="preserve">PENDING — VP Operations + Finance Director</t>
  </si>
  <si>
    <t xml:space="preserve">Without this policy, the system of record value of I-Property is undermined. Financial data errors corrected without a controlled process reintroduce the audit gaps the system is designed to close.</t>
  </si>
  <si>
    <t xml:space="preserve">VP Property Operations + Finance Director</t>
  </si>
  <si>
    <t xml:space="preserve">UAT cannot be signed off without data governance in place. Post-launch financial data quality is at risk.</t>
  </si>
  <si>
    <t xml:space="preserve">D-09</t>
  </si>
  <si>
    <t xml:space="preserve">Phase 2 investment pre-approval: confirm that Phase 2 ($150K–$200K estimated) will be included in Q1 2026 budget planning</t>
  </si>
  <si>
    <t xml:space="preserve">PRD §5 / §12</t>
  </si>
  <si>
    <t xml:space="preserve">A) Pre-approve Phase 2 in principle now (maintains momentum, no binding commitment); B) Defer Phase 2 budget decision to Month 9 review; C) Terminate after Phase 1 only</t>
  </si>
  <si>
    <t xml:space="preserve">PENDING — CFO</t>
  </si>
  <si>
    <t xml:space="preserve">Pre-approval in principle (not a commitment) allows the product team to begin Phase 2 requirements gathering during Phase 1 delivery, reducing total program timeline by 2–3 months.</t>
  </si>
  <si>
    <t xml:space="preserve">Phase 2 planning cannot begin. Mobile UI, signage module, and Capex integration will be delayed to Q2 2026 at earliest.</t>
  </si>
  <si>
    <t xml:space="preserve">PRD §2.3</t>
  </si>
  <si>
    <t xml:space="preserve">D-10</t>
  </si>
  <si>
    <t xml:space="preserve">California CPRA (Consumer Privacy Rights Act) applicability: does I-Property's storage of landlord personal data (CNIC, bank details) require a CPRA compliance review?</t>
  </si>
  <si>
    <t xml:space="preserve">SRS §9 / PRD §5</t>
  </si>
  <si>
    <t xml:space="preserve">A) Engage Legal for formal CPRA assessment before go-live; B) Determine landlord data is B2B and outside CPRA scope; C) Implement privacy-by-design measures as a precaution regardless of formal classification</t>
  </si>
  <si>
    <t xml:space="preserve">PENDING — Director of Legal</t>
  </si>
  <si>
    <t xml:space="preserve">California CPRA covers 'personal information' of California residents. Landlords who are individuals (not corporations) may qualify. Bank account numbers and CNIC equivalents are sensitive data under CPRA. Legal review is prudent before production deployment.</t>
  </si>
  <si>
    <t xml:space="preserve">If I-Property goes live without a CPRA assessment and landlord data is later determined to be in scope, Meridian faces potential regulatory penalties and mandatory system remediation.</t>
  </si>
  <si>
    <t xml:space="preserve">D-11</t>
  </si>
  <si>
    <t xml:space="preserve">Operations</t>
  </si>
  <si>
    <t xml:space="preserve">Go-live strategy: big-bang (all regions simultaneously) vs. phased rollout (pilot one region first)</t>
  </si>
  <si>
    <t xml:space="preserve">PRD §12 / Risk R-02</t>
  </si>
  <si>
    <t xml:space="preserve">A) Big-bang: all 3 California regions (LA, Bay Area, San Diego) go live simultaneously — maximum impact, higher risk; B) Pilot LA region first (4–6 weeks), then remaining regions</t>
  </si>
  <si>
    <t xml:space="preserve">PENDING — VP Property Operations</t>
  </si>
  <si>
    <t xml:space="preserve">Phased rollout reduces adoption risk (R-02) and allows issues to be resolved before full deployment. However, it requires managing parallel systems (paper + I-Property) in non-pilot regions for 4–6 weeks.</t>
  </si>
  <si>
    <t xml:space="preserve">Go-live planning and training schedule cannot be finalized without this decision. Change management approach differs significantly between options.</t>
  </si>
  <si>
    <t xml:space="preserve">D-12</t>
  </si>
  <si>
    <t xml:space="preserve">Reporting</t>
  </si>
  <si>
    <t xml:space="preserve">Report format specifications: business to confirm and approve all report formats (types, columns, filter options, export formats) before Sprint 5 development</t>
  </si>
  <si>
    <t xml:space="preserve">BRD §6.1.11 / SRS §5.5</t>
  </si>
  <si>
    <t xml:space="preserve">A) Business delivers specifications by Sprint 3 (recommended); B) Business reviews BA-drafted specifications in SRS v3.0 and approves/amends; C) Reports designed by BA assumptions and reviewed in UAT</t>
  </si>
  <si>
    <t xml:space="preserve">BRD §6.1.11 states report formats will be provided by business but they have not been delivered. SRS v3.0 §5.5 contains BA-assumed specifications. Business confirmation required before Sprint 5.</t>
  </si>
  <si>
    <t xml:space="preserve">Report module development proceeds on BA assumptions. UAT rework required if business requires different formats, columns, or filters.</t>
  </si>
  <si>
    <t xml:space="preserve">I-PROPERTY RISK HEAT MAP</t>
  </si>
  <si>
    <t xml:space="preserve">Probability vs Impact matrix for all identified project risks  ·  Score = Probability (1–5) × Impact (1–5)</t>
  </si>
  <si>
    <t xml:space="preserve">RISK HEAT MAP — PROBABILITY × IMPACT</t>
  </si>
  <si>
    <t xml:space="preserve">Impact 1
Insignificant</t>
  </si>
  <si>
    <t xml:space="preserve">Impact 2
Minor</t>
  </si>
  <si>
    <t xml:space="preserve">Impact 3
Moderate</t>
  </si>
  <si>
    <t xml:space="preserve">Impact 4
Significant</t>
  </si>
  <si>
    <t xml:space="preserve">Impact 5
Catastrophic</t>
  </si>
  <si>
    <t xml:space="preserve">PROBABILITY  →  5 (Almost Certain) to 1 (Rare)</t>
  </si>
  <si>
    <t xml:space="preserve">5 — Almost Certain</t>
  </si>
  <si>
    <t xml:space="preserve">10</t>
  </si>
  <si>
    <t xml:space="preserve">15</t>
  </si>
  <si>
    <t xml:space="preserve">20</t>
  </si>
  <si>
    <t xml:space="preserve">25</t>
  </si>
  <si>
    <t xml:space="preserve">4 — Likely</t>
  </si>
  <si>
    <t xml:space="preserve">8</t>
  </si>
  <si>
    <t xml:space="preserve">12</t>
  </si>
  <si>
    <t xml:space="preserve">16
R-03</t>
  </si>
  <si>
    <t xml:space="preserve">20
R-01</t>
  </si>
  <si>
    <t xml:space="preserve">3 — Possible</t>
  </si>
  <si>
    <t xml:space="preserve">6</t>
  </si>
  <si>
    <t xml:space="preserve">9
R-09 R-10</t>
  </si>
  <si>
    <t xml:space="preserve">12
R-05 R-06</t>
  </si>
  <si>
    <t xml:space="preserve">15
R-02</t>
  </si>
  <si>
    <t xml:space="preserve">2 — Unlikely</t>
  </si>
  <si>
    <t xml:space="preserve">6
R-12 R-13</t>
  </si>
  <si>
    <t xml:space="preserve">8
R-07 R-08</t>
  </si>
  <si>
    <t xml:space="preserve">10
R-11</t>
  </si>
  <si>
    <t xml:space="preserve">1 — Rare</t>
  </si>
  <si>
    <t xml:space="preserve">4
R-14</t>
  </si>
  <si>
    <t xml:space="preserve">RISK LEVEL LEGEND</t>
  </si>
  <si>
    <t xml:space="preserve">  Low Risk (Score 1–4)</t>
  </si>
  <si>
    <t xml:space="preserve">  Medium Risk (Score 5–9)</t>
  </si>
  <si>
    <t xml:space="preserve">  High Risk (Score 10–14)</t>
  </si>
  <si>
    <t xml:space="preserve">  Critical Risk (Score 15–25)</t>
  </si>
</sst>
</file>

<file path=xl/styles.xml><?xml version="1.0" encoding="utf-8"?>
<styleSheet xmlns="http://schemas.openxmlformats.org/spreadsheetml/2006/main">
  <numFmts count="2">
    <numFmt numFmtId="164" formatCode="General"/>
    <numFmt numFmtId="165" formatCode="General"/>
  </numFmts>
  <fonts count="40">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i val="true"/>
      <sz val="9"/>
      <color rgb="FFAABBCC"/>
      <name val="Arial"/>
      <family val="0"/>
      <charset val="1"/>
    </font>
    <font>
      <b val="true"/>
      <sz val="9"/>
      <color rgb="FFFFFFFF"/>
      <name val="Arial"/>
      <family val="0"/>
      <charset val="1"/>
    </font>
    <font>
      <sz val="9"/>
      <color rgb="FF374151"/>
      <name val="Arial"/>
      <family val="0"/>
      <charset val="1"/>
    </font>
    <font>
      <b val="true"/>
      <sz val="10"/>
      <color rgb="FFFFFFFF"/>
      <name val="Arial"/>
      <family val="0"/>
      <charset val="1"/>
    </font>
    <font>
      <b val="true"/>
      <sz val="11"/>
      <color rgb="FFC0392B"/>
      <name val="Arial"/>
      <family val="0"/>
      <charset val="1"/>
    </font>
    <font>
      <b val="true"/>
      <sz val="11"/>
      <color rgb="FF0E5E6F"/>
      <name val="Arial"/>
      <family val="0"/>
      <charset val="1"/>
    </font>
    <font>
      <b val="true"/>
      <sz val="11"/>
      <color rgb="FFD97706"/>
      <name val="Arial"/>
      <family val="0"/>
      <charset val="1"/>
    </font>
    <font>
      <b val="true"/>
      <sz val="11"/>
      <color rgb="FF6D28D9"/>
      <name val="Arial"/>
      <family val="0"/>
      <charset val="1"/>
    </font>
    <font>
      <sz val="9"/>
      <name val="Arial"/>
      <family val="0"/>
      <charset val="1"/>
    </font>
    <font>
      <b val="true"/>
      <sz val="28"/>
      <color rgb="FFC0392B"/>
      <name val="Arial"/>
      <family val="0"/>
      <charset val="1"/>
    </font>
    <font>
      <b val="true"/>
      <sz val="28"/>
      <color rgb="FF0E5E6F"/>
      <name val="Arial"/>
      <family val="0"/>
      <charset val="1"/>
    </font>
    <font>
      <b val="true"/>
      <sz val="28"/>
      <color rgb="FFD97706"/>
      <name val="Arial"/>
      <family val="0"/>
      <charset val="1"/>
    </font>
    <font>
      <b val="true"/>
      <sz val="28"/>
      <color rgb="FF6D28D9"/>
      <name val="Arial"/>
      <family val="0"/>
      <charset val="1"/>
    </font>
    <font>
      <b val="true"/>
      <sz val="9"/>
      <color rgb="FFC0392B"/>
      <name val="Arial"/>
      <family val="0"/>
      <charset val="1"/>
    </font>
    <font>
      <b val="true"/>
      <sz val="9"/>
      <color rgb="FF0E5E6F"/>
      <name val="Arial"/>
      <family val="0"/>
      <charset val="1"/>
    </font>
    <font>
      <b val="true"/>
      <sz val="9"/>
      <color rgb="FFD97706"/>
      <name val="Arial"/>
      <family val="0"/>
      <charset val="1"/>
    </font>
    <font>
      <b val="true"/>
      <sz val="9"/>
      <color rgb="FF6D28D9"/>
      <name val="Arial"/>
      <family val="0"/>
      <charset val="1"/>
    </font>
    <font>
      <i val="true"/>
      <sz val="9"/>
      <color rgb="FFC0392B"/>
      <name val="Arial"/>
      <family val="0"/>
      <charset val="1"/>
    </font>
    <font>
      <i val="true"/>
      <sz val="9"/>
      <color rgb="FF0E5E6F"/>
      <name val="Arial"/>
      <family val="0"/>
      <charset val="1"/>
    </font>
    <font>
      <i val="true"/>
      <sz val="9"/>
      <color rgb="FFD97706"/>
      <name val="Arial"/>
      <family val="0"/>
      <charset val="1"/>
    </font>
    <font>
      <i val="true"/>
      <sz val="9"/>
      <color rgb="FF6D28D9"/>
      <name val="Arial"/>
      <family val="0"/>
      <charset val="1"/>
    </font>
    <font>
      <i val="true"/>
      <sz val="8"/>
      <color rgb="FFC0392B"/>
      <name val="Arial"/>
      <family val="0"/>
      <charset val="1"/>
    </font>
    <font>
      <i val="true"/>
      <sz val="8"/>
      <color rgb="FF0E5E6F"/>
      <name val="Arial"/>
      <family val="0"/>
      <charset val="1"/>
    </font>
    <font>
      <i val="true"/>
      <sz val="8"/>
      <color rgb="FFD97706"/>
      <name val="Arial"/>
      <family val="0"/>
      <charset val="1"/>
    </font>
    <font>
      <i val="true"/>
      <sz val="8"/>
      <color rgb="FF6D28D9"/>
      <name val="Arial"/>
      <family val="0"/>
      <charset val="1"/>
    </font>
    <font>
      <b val="true"/>
      <sz val="9"/>
      <color rgb="FF1D4ED8"/>
      <name val="Arial"/>
      <family val="0"/>
      <charset val="1"/>
    </font>
    <font>
      <b val="true"/>
      <sz val="9"/>
      <color rgb="FF15803D"/>
      <name val="Arial"/>
      <family val="0"/>
      <charset val="1"/>
    </font>
    <font>
      <b val="true"/>
      <sz val="9"/>
      <color rgb="FFE11D48"/>
      <name val="Arial"/>
      <family val="0"/>
      <charset val="1"/>
    </font>
    <font>
      <b val="true"/>
      <sz val="16"/>
      <color rgb="FFFFFFFF"/>
      <name val="Arial"/>
      <family val="0"/>
      <charset val="1"/>
    </font>
    <font>
      <b val="true"/>
      <sz val="9"/>
      <name val="Arial"/>
      <family val="0"/>
      <charset val="1"/>
    </font>
    <font>
      <b val="true"/>
      <sz val="12"/>
      <color rgb="FF0F2044"/>
      <name val="Arial"/>
      <family val="0"/>
      <charset val="1"/>
    </font>
    <font>
      <b val="true"/>
      <sz val="9"/>
      <color rgb="FF0F2044"/>
      <name val="Arial"/>
      <family val="0"/>
      <charset val="1"/>
    </font>
    <font>
      <sz val="9"/>
      <color rgb="FF1A1A1A"/>
      <name val="Arial"/>
      <family val="0"/>
      <charset val="1"/>
    </font>
    <font>
      <b val="true"/>
      <sz val="9"/>
      <color rgb="FF1A1A1A"/>
      <name val="Arial"/>
      <family val="0"/>
      <charset val="1"/>
    </font>
    <font>
      <b val="true"/>
      <sz val="10"/>
      <color rgb="FF0F2044"/>
      <name val="Arial"/>
      <family val="0"/>
      <charset val="1"/>
    </font>
  </fonts>
  <fills count="20">
    <fill>
      <patternFill patternType="none"/>
    </fill>
    <fill>
      <patternFill patternType="gray125"/>
    </fill>
    <fill>
      <patternFill patternType="solid">
        <fgColor rgb="FF0F2044"/>
        <bgColor rgb="FF1A1A1A"/>
      </patternFill>
    </fill>
    <fill>
      <patternFill patternType="solid">
        <fgColor rgb="FFA07C2A"/>
        <bgColor rgb="FF808080"/>
      </patternFill>
    </fill>
    <fill>
      <patternFill patternType="solid">
        <fgColor rgb="FF0E5E6F"/>
        <bgColor rgb="FF1A56A0"/>
      </patternFill>
    </fill>
    <fill>
      <patternFill patternType="solid">
        <fgColor rgb="FFF7F8FA"/>
        <bgColor rgb="FFEFF6FF"/>
      </patternFill>
    </fill>
    <fill>
      <patternFill patternType="solid">
        <fgColor rgb="FF1A56A0"/>
        <bgColor rgb="FF0E5E6F"/>
      </patternFill>
    </fill>
    <fill>
      <patternFill patternType="solid">
        <fgColor rgb="FFFDECEA"/>
        <bgColor rgb="FFFFF1F2"/>
      </patternFill>
    </fill>
    <fill>
      <patternFill patternType="solid">
        <fgColor rgb="FFE0F4F8"/>
        <bgColor rgb="FFE8F5E9"/>
      </patternFill>
    </fill>
    <fill>
      <patternFill patternType="solid">
        <fgColor rgb="FFFEF3C7"/>
        <bgColor rgb="FFFFF9C4"/>
      </patternFill>
    </fill>
    <fill>
      <patternFill patternType="solid">
        <fgColor rgb="FFEDE9F8"/>
        <bgColor rgb="FFFDECEA"/>
      </patternFill>
    </fill>
    <fill>
      <patternFill patternType="solid">
        <fgColor rgb="FFEFF6FF"/>
        <bgColor rgb="FFF7F8FA"/>
      </patternFill>
    </fill>
    <fill>
      <patternFill patternType="solid">
        <fgColor rgb="FFDCFCE7"/>
        <bgColor rgb="FFE8F5E9"/>
      </patternFill>
    </fill>
    <fill>
      <patternFill patternType="solid">
        <fgColor rgb="FFFFF1F2"/>
        <bgColor rgb="FFFDECEA"/>
      </patternFill>
    </fill>
    <fill>
      <patternFill patternType="solid">
        <fgColor rgb="FFFFFFFF"/>
        <bgColor rgb="FFF7F8FA"/>
      </patternFill>
    </fill>
    <fill>
      <patternFill patternType="solid">
        <fgColor rgb="FFFFCCBC"/>
        <bgColor rgb="FFFFCDD2"/>
      </patternFill>
    </fill>
    <fill>
      <patternFill patternType="solid">
        <fgColor rgb="FFFFCDD2"/>
        <bgColor rgb="FFFFCCBC"/>
      </patternFill>
    </fill>
    <fill>
      <patternFill patternType="solid">
        <fgColor rgb="FFB71C1C"/>
        <bgColor rgb="FFC0392B"/>
      </patternFill>
    </fill>
    <fill>
      <patternFill patternType="solid">
        <fgColor rgb="FFFFF9C4"/>
        <bgColor rgb="FFFEF3C7"/>
      </patternFill>
    </fill>
    <fill>
      <patternFill patternType="solid">
        <fgColor rgb="FFE8F5E9"/>
        <bgColor rgb="FFE0F4F8"/>
      </patternFill>
    </fill>
  </fills>
  <borders count="3">
    <border diagonalUp="false" diagonalDown="false">
      <left/>
      <right/>
      <top/>
      <bottom/>
      <diagonal/>
    </border>
    <border diagonalUp="false" diagonalDown="false">
      <left style="thin">
        <color rgb="FFD1D5DB"/>
      </left>
      <right/>
      <top style="thin">
        <color rgb="FFD1D5DB"/>
      </top>
      <bottom style="thin">
        <color rgb="FFD1D5DB"/>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0" fillId="3" borderId="0" xfId="0" applyFont="false" applyBorder="tru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8" fillId="6" borderId="0"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2" fillId="10"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14" fillId="7" borderId="1" xfId="0" applyFont="true" applyBorder="true" applyAlignment="true" applyProtection="false">
      <alignment horizontal="center" vertical="center" textRotation="0" wrapText="true" indent="0" shrinkToFit="false"/>
      <protection locked="true" hidden="false"/>
    </xf>
    <xf numFmtId="165" fontId="15" fillId="8" borderId="1" xfId="0" applyFont="true" applyBorder="true" applyAlignment="true" applyProtection="false">
      <alignment horizontal="center" vertical="center" textRotation="0" wrapText="true" indent="0" shrinkToFit="false"/>
      <protection locked="true" hidden="false"/>
    </xf>
    <xf numFmtId="165" fontId="16" fillId="9" borderId="1" xfId="0" applyFont="true" applyBorder="true" applyAlignment="true" applyProtection="false">
      <alignment horizontal="center" vertical="center" textRotation="0" wrapText="true" indent="0" shrinkToFit="false"/>
      <protection locked="true" hidden="false"/>
    </xf>
    <xf numFmtId="165" fontId="17" fillId="10" borderId="1" xfId="0" applyFont="true" applyBorder="true" applyAlignment="true" applyProtection="false">
      <alignment horizontal="center" vertical="center" textRotation="0" wrapText="true" indent="0" shrinkToFit="false"/>
      <protection locked="true" hidden="false"/>
    </xf>
    <xf numFmtId="164" fontId="18" fillId="7" borderId="1" xfId="0" applyFont="true" applyBorder="true" applyAlignment="true" applyProtection="false">
      <alignment horizontal="center" vertical="center" textRotation="0" wrapText="true" indent="0" shrinkToFit="false"/>
      <protection locked="true" hidden="false"/>
    </xf>
    <xf numFmtId="164" fontId="19" fillId="8" borderId="1" xfId="0" applyFont="true" applyBorder="true" applyAlignment="true" applyProtection="false">
      <alignment horizontal="center" vertical="center" textRotation="0" wrapText="true" indent="0" shrinkToFit="false"/>
      <protection locked="true" hidden="false"/>
    </xf>
    <xf numFmtId="164" fontId="20" fillId="9" borderId="1" xfId="0" applyFont="true" applyBorder="true" applyAlignment="true" applyProtection="false">
      <alignment horizontal="center" vertical="center" textRotation="0" wrapText="true" indent="0" shrinkToFit="false"/>
      <protection locked="true" hidden="false"/>
    </xf>
    <xf numFmtId="164" fontId="21" fillId="10" borderId="1" xfId="0" applyFont="true" applyBorder="true" applyAlignment="true" applyProtection="false">
      <alignment horizontal="center" vertical="center" textRotation="0" wrapText="true" indent="0" shrinkToFit="false"/>
      <protection locked="true" hidden="false"/>
    </xf>
    <xf numFmtId="164" fontId="22" fillId="7" borderId="1" xfId="0" applyFont="true" applyBorder="true" applyAlignment="true" applyProtection="false">
      <alignment horizontal="center" vertical="center" textRotation="0" wrapText="true" indent="0" shrinkToFit="false"/>
      <protection locked="true" hidden="false"/>
    </xf>
    <xf numFmtId="164" fontId="23" fillId="8" borderId="1" xfId="0" applyFont="true" applyBorder="true" applyAlignment="true" applyProtection="false">
      <alignment horizontal="center" vertical="center" textRotation="0" wrapText="true" indent="0" shrinkToFit="false"/>
      <protection locked="true" hidden="false"/>
    </xf>
    <xf numFmtId="164" fontId="24" fillId="9" borderId="1" xfId="0" applyFont="true" applyBorder="true" applyAlignment="true" applyProtection="false">
      <alignment horizontal="center" vertical="center" textRotation="0" wrapText="true" indent="0" shrinkToFit="false"/>
      <protection locked="true" hidden="false"/>
    </xf>
    <xf numFmtId="164" fontId="25" fillId="10" borderId="1" xfId="0" applyFont="true" applyBorder="true" applyAlignment="true" applyProtection="false">
      <alignment horizontal="center" vertical="center" textRotation="0" wrapText="true" indent="0" shrinkToFit="false"/>
      <protection locked="true" hidden="false"/>
    </xf>
    <xf numFmtId="164" fontId="26" fillId="7" borderId="1" xfId="0" applyFont="true" applyBorder="true" applyAlignment="true" applyProtection="false">
      <alignment horizontal="center" vertical="center" textRotation="0" wrapText="true" indent="0" shrinkToFit="false"/>
      <protection locked="true" hidden="false"/>
    </xf>
    <xf numFmtId="164" fontId="27" fillId="8" borderId="1" xfId="0" applyFont="true" applyBorder="true" applyAlignment="true" applyProtection="false">
      <alignment horizontal="center" vertical="center" textRotation="0" wrapText="true" indent="0" shrinkToFit="false"/>
      <protection locked="true" hidden="false"/>
    </xf>
    <xf numFmtId="164" fontId="28" fillId="9" borderId="1" xfId="0" applyFont="true" applyBorder="true" applyAlignment="true" applyProtection="false">
      <alignment horizontal="center" vertical="center" textRotation="0" wrapText="true" indent="0" shrinkToFit="false"/>
      <protection locked="true" hidden="false"/>
    </xf>
    <xf numFmtId="164" fontId="29" fillId="10"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8" fillId="2" borderId="2" xfId="0" applyFont="true" applyBorder="true" applyAlignment="true" applyProtection="false">
      <alignment horizontal="left" vertical="center" textRotation="0" wrapText="tru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13" fillId="0" borderId="2" xfId="0" applyFont="true" applyBorder="true" applyAlignment="true" applyProtection="false">
      <alignment horizontal="center" vertical="center" textRotation="0" wrapText="true" indent="0" shrinkToFit="false"/>
      <protection locked="true" hidden="false"/>
    </xf>
    <xf numFmtId="164" fontId="18" fillId="7" borderId="2" xfId="0" applyFont="true" applyBorder="true" applyAlignment="true" applyProtection="false">
      <alignment horizontal="left" vertical="center" textRotation="0" wrapText="true" indent="0" shrinkToFit="false"/>
      <protection locked="true" hidden="false"/>
    </xf>
    <xf numFmtId="165" fontId="18" fillId="7" borderId="2" xfId="0" applyFont="true" applyBorder="true" applyAlignment="true" applyProtection="false">
      <alignment horizontal="center" vertical="center" textRotation="0" wrapText="true" indent="0" shrinkToFit="false"/>
      <protection locked="true" hidden="false"/>
    </xf>
    <xf numFmtId="164" fontId="20" fillId="9" borderId="2" xfId="0" applyFont="true" applyBorder="true" applyAlignment="true" applyProtection="false">
      <alignment horizontal="left" vertical="center" textRotation="0" wrapText="true" indent="0" shrinkToFit="false"/>
      <protection locked="true" hidden="false"/>
    </xf>
    <xf numFmtId="165" fontId="20" fillId="9" borderId="2" xfId="0" applyFont="true" applyBorder="true" applyAlignment="true" applyProtection="false">
      <alignment horizontal="center" vertical="center" textRotation="0" wrapText="true" indent="0" shrinkToFit="false"/>
      <protection locked="true" hidden="false"/>
    </xf>
    <xf numFmtId="164" fontId="30" fillId="11" borderId="2" xfId="0" applyFont="true" applyBorder="true" applyAlignment="true" applyProtection="false">
      <alignment horizontal="left" vertical="center" textRotation="0" wrapText="true" indent="0" shrinkToFit="false"/>
      <protection locked="true" hidden="false"/>
    </xf>
    <xf numFmtId="165" fontId="30" fillId="11" borderId="2" xfId="0" applyFont="true" applyBorder="true" applyAlignment="true" applyProtection="false">
      <alignment horizontal="center" vertical="center" textRotation="0" wrapText="true" indent="0" shrinkToFit="false"/>
      <protection locked="true" hidden="false"/>
    </xf>
    <xf numFmtId="164" fontId="31" fillId="12" borderId="2" xfId="0" applyFont="true" applyBorder="true" applyAlignment="true" applyProtection="false">
      <alignment horizontal="left" vertical="center" textRotation="0" wrapText="true" indent="0" shrinkToFit="false"/>
      <protection locked="true" hidden="false"/>
    </xf>
    <xf numFmtId="165" fontId="31" fillId="12" borderId="2" xfId="0" applyFont="true" applyBorder="true" applyAlignment="true" applyProtection="false">
      <alignment horizontal="center" vertical="center" textRotation="0" wrapText="true" indent="0" shrinkToFit="false"/>
      <protection locked="true" hidden="false"/>
    </xf>
    <xf numFmtId="164" fontId="32" fillId="13" borderId="2" xfId="0" applyFont="true" applyBorder="true" applyAlignment="true" applyProtection="false">
      <alignment horizontal="left" vertical="center" textRotation="0" wrapText="true" indent="0" shrinkToFit="false"/>
      <protection locked="true" hidden="false"/>
    </xf>
    <xf numFmtId="165" fontId="32" fillId="13" borderId="2" xfId="0" applyFont="true" applyBorder="true" applyAlignment="true" applyProtection="false">
      <alignment horizontal="center" vertical="center" textRotation="0" wrapText="tru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4" fontId="33" fillId="2" borderId="0" xfId="0" applyFont="true" applyBorder="true" applyAlignment="true" applyProtection="false">
      <alignment horizontal="left" vertical="center" textRotation="0" wrapText="true" indent="0" shrinkToFit="false"/>
      <protection locked="true" hidden="false"/>
    </xf>
    <xf numFmtId="164" fontId="6" fillId="6" borderId="2"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left" vertical="top" textRotation="0" wrapText="true" indent="0" shrinkToFit="false"/>
      <protection locked="true" hidden="false"/>
    </xf>
    <xf numFmtId="164" fontId="7" fillId="5" borderId="2" xfId="0" applyFont="true" applyBorder="true" applyAlignment="true" applyProtection="false">
      <alignment horizontal="center" vertical="top" textRotation="0" wrapText="true" indent="0" shrinkToFit="false"/>
      <protection locked="true" hidden="false"/>
    </xf>
    <xf numFmtId="165" fontId="34" fillId="5" borderId="2" xfId="0" applyFont="true" applyBorder="true" applyAlignment="true" applyProtection="false">
      <alignment horizontal="center" vertical="top" textRotation="0" wrapText="true" indent="0" shrinkToFit="false"/>
      <protection locked="true" hidden="false"/>
    </xf>
    <xf numFmtId="164" fontId="18" fillId="7" borderId="0" xfId="0" applyFont="true" applyBorder="false" applyAlignment="true" applyProtection="false">
      <alignment horizontal="center" vertical="top" textRotation="0" wrapText="true" indent="0" shrinkToFit="false"/>
      <protection locked="true" hidden="false"/>
    </xf>
    <xf numFmtId="164" fontId="7" fillId="14" borderId="2" xfId="0" applyFont="true" applyBorder="true" applyAlignment="true" applyProtection="false">
      <alignment horizontal="left" vertical="top" textRotation="0" wrapText="true" indent="0" shrinkToFit="false"/>
      <protection locked="true" hidden="false"/>
    </xf>
    <xf numFmtId="164" fontId="7" fillId="14" borderId="2" xfId="0" applyFont="true" applyBorder="true" applyAlignment="true" applyProtection="false">
      <alignment horizontal="center" vertical="top" textRotation="0" wrapText="true" indent="0" shrinkToFit="false"/>
      <protection locked="true" hidden="false"/>
    </xf>
    <xf numFmtId="165" fontId="34" fillId="14" borderId="2" xfId="0" applyFont="true" applyBorder="true" applyAlignment="true" applyProtection="false">
      <alignment horizontal="center" vertical="top" textRotation="0" wrapText="true" indent="0" shrinkToFit="false"/>
      <protection locked="true" hidden="false"/>
    </xf>
    <xf numFmtId="164" fontId="20" fillId="9" borderId="0" xfId="0" applyFont="true" applyBorder="false" applyAlignment="true" applyProtection="false">
      <alignment horizontal="center" vertical="top" textRotation="0" wrapText="true" indent="0" shrinkToFit="false"/>
      <protection locked="true" hidden="false"/>
    </xf>
    <xf numFmtId="164" fontId="30" fillId="11" borderId="0" xfId="0" applyFont="true" applyBorder="false" applyAlignment="true" applyProtection="false">
      <alignment horizontal="center" vertical="top" textRotation="0" wrapText="true" indent="0" shrinkToFit="false"/>
      <protection locked="true" hidden="false"/>
    </xf>
    <xf numFmtId="164" fontId="20" fillId="9" borderId="2" xfId="0" applyFont="true" applyBorder="true" applyAlignment="true" applyProtection="false">
      <alignment horizontal="left" vertical="top" textRotation="0" wrapText="true" indent="0" shrinkToFit="false"/>
      <protection locked="true" hidden="false"/>
    </xf>
    <xf numFmtId="164" fontId="35" fillId="0"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36" fillId="5" borderId="0" xfId="0" applyFont="true" applyBorder="true" applyAlignment="true" applyProtection="false">
      <alignment horizontal="center" vertical="center" textRotation="90" wrapText="true" indent="0" shrinkToFit="false"/>
      <protection locked="true" hidden="false"/>
    </xf>
    <xf numFmtId="164" fontId="36" fillId="5" borderId="2" xfId="0" applyFont="true" applyBorder="true" applyAlignment="true" applyProtection="false">
      <alignment horizontal="left" vertical="center" textRotation="0" wrapText="true" indent="0" shrinkToFit="false"/>
      <protection locked="true" hidden="false"/>
    </xf>
    <xf numFmtId="164" fontId="37" fillId="15" borderId="2" xfId="0" applyFont="true" applyBorder="true" applyAlignment="true" applyProtection="false">
      <alignment horizontal="center" vertical="center" textRotation="0" wrapText="true" indent="0" shrinkToFit="false"/>
      <protection locked="true" hidden="false"/>
    </xf>
    <xf numFmtId="164" fontId="37" fillId="16" borderId="2" xfId="0" applyFont="true" applyBorder="true" applyAlignment="true" applyProtection="false">
      <alignment horizontal="center" vertical="center" textRotation="0" wrapText="true" indent="0" shrinkToFit="false"/>
      <protection locked="true" hidden="false"/>
    </xf>
    <xf numFmtId="164" fontId="37" fillId="17" borderId="2" xfId="0" applyFont="true" applyBorder="true" applyAlignment="true" applyProtection="false">
      <alignment horizontal="center" vertical="center" textRotation="0" wrapText="true" indent="0" shrinkToFit="false"/>
      <protection locked="true" hidden="false"/>
    </xf>
    <xf numFmtId="164" fontId="37" fillId="18" borderId="2" xfId="0" applyFont="true" applyBorder="true" applyAlignment="true" applyProtection="false">
      <alignment horizontal="center" vertical="center" textRotation="0" wrapText="true" indent="0" shrinkToFit="false"/>
      <protection locked="true" hidden="false"/>
    </xf>
    <xf numFmtId="164" fontId="38" fillId="16" borderId="2" xfId="0" applyFont="true" applyBorder="true" applyAlignment="true" applyProtection="false">
      <alignment horizontal="center" vertical="center" textRotation="0" wrapText="true" indent="0" shrinkToFit="false"/>
      <protection locked="true" hidden="false"/>
    </xf>
    <xf numFmtId="164" fontId="38" fillId="15" borderId="2" xfId="0" applyFont="true" applyBorder="true" applyAlignment="true" applyProtection="false">
      <alignment horizontal="center" vertical="center" textRotation="0" wrapText="true" indent="0" shrinkToFit="false"/>
      <protection locked="true" hidden="false"/>
    </xf>
    <xf numFmtId="164" fontId="37" fillId="19" borderId="2" xfId="0" applyFont="true" applyBorder="true" applyAlignment="true" applyProtection="false">
      <alignment horizontal="center" vertical="center" textRotation="0" wrapText="true" indent="0" shrinkToFit="false"/>
      <protection locked="true" hidden="false"/>
    </xf>
    <xf numFmtId="164" fontId="38" fillId="18" borderId="2" xfId="0" applyFont="true" applyBorder="true" applyAlignment="true" applyProtection="false">
      <alignment horizontal="center" vertical="center" textRotation="0" wrapText="true" indent="0" shrinkToFit="false"/>
      <protection locked="true" hidden="false"/>
    </xf>
    <xf numFmtId="164" fontId="39" fillId="0" borderId="0" xfId="0" applyFont="true" applyBorder="true" applyAlignment="true" applyProtection="false">
      <alignment horizontal="general" vertical="bottom" textRotation="0" wrapText="false" indent="0" shrinkToFit="false"/>
      <protection locked="true" hidden="false"/>
    </xf>
    <xf numFmtId="164" fontId="13" fillId="19" borderId="2" xfId="0" applyFont="true" applyBorder="true" applyAlignment="true" applyProtection="false">
      <alignment horizontal="left" vertical="center" textRotation="0" wrapText="true" indent="0" shrinkToFit="false"/>
      <protection locked="true" hidden="false"/>
    </xf>
    <xf numFmtId="164" fontId="13" fillId="18" borderId="2" xfId="0" applyFont="true" applyBorder="true" applyAlignment="true" applyProtection="false">
      <alignment horizontal="left" vertical="center" textRotation="0" wrapText="true" indent="0" shrinkToFit="false"/>
      <protection locked="true" hidden="false"/>
    </xf>
    <xf numFmtId="164" fontId="13" fillId="15" borderId="2" xfId="0" applyFont="true" applyBorder="true" applyAlignment="true" applyProtection="false">
      <alignment horizontal="left" vertical="center" textRotation="0" wrapText="true" indent="0" shrinkToFit="false"/>
      <protection locked="true" hidden="false"/>
    </xf>
    <xf numFmtId="164" fontId="13" fillId="16"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A56A0"/>
          <bgColor rgb="FF000000"/>
        </patternFill>
      </fill>
    </dxf>
    <dxf>
      <fill>
        <patternFill patternType="solid">
          <fgColor rgb="FFFFFFFF"/>
          <bgColor rgb="FF000000"/>
        </patternFill>
      </fill>
    </dxf>
  </dxfs>
  <colors>
    <indexedColors>
      <rgbColor rgb="FF000000"/>
      <rgbColor rgb="FFFFFFFF"/>
      <rgbColor rgb="FFE11D48"/>
      <rgbColor rgb="FF00FF00"/>
      <rgbColor rgb="FF0000FF"/>
      <rgbColor rgb="FFFFF1F2"/>
      <rgbColor rgb="FFFF00FF"/>
      <rgbColor rgb="FF00FFFF"/>
      <rgbColor rgb="FF800000"/>
      <rgbColor rgb="FF15803D"/>
      <rgbColor rgb="FF000080"/>
      <rgbColor rgb="FFA07C2A"/>
      <rgbColor rgb="FF800080"/>
      <rgbColor rgb="FF0E5E6F"/>
      <rgbColor rgb="FFAABBCC"/>
      <rgbColor rgb="FF808080"/>
      <rgbColor rgb="FFEFF6FF"/>
      <rgbColor rgb="FFC0392B"/>
      <rgbColor rgb="FFFFF9C4"/>
      <rgbColor rgb="FFDCFCE7"/>
      <rgbColor rgb="FF660066"/>
      <rgbColor rgb="FFFF8080"/>
      <rgbColor rgb="FF1A56A0"/>
      <rgbColor rgb="FFD1D5DB"/>
      <rgbColor rgb="FF000080"/>
      <rgbColor rgb="FFFF00FF"/>
      <rgbColor rgb="FFF7F8FA"/>
      <rgbColor rgb="FF00FFFF"/>
      <rgbColor rgb="FF800080"/>
      <rgbColor rgb="FF800000"/>
      <rgbColor rgb="FF008080"/>
      <rgbColor rgb="FF0000FF"/>
      <rgbColor rgb="FF00CCFF"/>
      <rgbColor rgb="FFE0F4F8"/>
      <rgbColor rgb="FFE8F5E9"/>
      <rgbColor rgb="FFFEF3C7"/>
      <rgbColor rgb="FFEDE9F8"/>
      <rgbColor rgb="FFFFCDD2"/>
      <rgbColor rgb="FFFDECEA"/>
      <rgbColor rgb="FFFFCCBC"/>
      <rgbColor rgb="FF1D4ED8"/>
      <rgbColor rgb="FF33CCCC"/>
      <rgbColor rgb="FF99CC00"/>
      <rgbColor rgb="FFFFCC00"/>
      <rgbColor rgb="FFFF9900"/>
      <rgbColor rgb="FFD97706"/>
      <rgbColor rgb="FF666699"/>
      <rgbColor rgb="FF969696"/>
      <rgbColor rgb="FF0F2044"/>
      <rgbColor rgb="FF339966"/>
      <rgbColor rgb="FF003300"/>
      <rgbColor rgb="FF1A1A1A"/>
      <rgbColor rgb="FFB71C1C"/>
      <rgbColor rgb="FF993366"/>
      <rgbColor rgb="FF6D28D9"/>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1" width="18"/>
    <col collapsed="false" customWidth="true" hidden="false" outlineLevel="0" max="10" min="7" style="1" width="14"/>
  </cols>
  <sheetData>
    <row r="1" customFormat="false" ht="49.5" hidden="false" customHeight="true" outlineLevel="0" collapsed="false">
      <c r="A1" s="2" t="s">
        <v>0</v>
      </c>
      <c r="B1" s="2"/>
      <c r="C1" s="2"/>
      <c r="D1" s="2"/>
      <c r="E1" s="2"/>
      <c r="F1" s="2"/>
      <c r="G1" s="2"/>
      <c r="H1" s="2"/>
      <c r="I1" s="2"/>
      <c r="J1" s="2"/>
    </row>
    <row r="2" customFormat="false" ht="27.75" hidden="false" customHeight="true" outlineLevel="0" collapsed="false">
      <c r="A2" s="3" t="s">
        <v>1</v>
      </c>
      <c r="B2" s="3"/>
      <c r="C2" s="3"/>
      <c r="D2" s="3"/>
      <c r="E2" s="3"/>
      <c r="F2" s="3"/>
      <c r="G2" s="3"/>
      <c r="H2" s="3"/>
      <c r="I2" s="3"/>
      <c r="J2" s="3"/>
    </row>
    <row r="3" customFormat="false" ht="19.5" hidden="false" customHeight="true" outlineLevel="0" collapsed="false">
      <c r="A3" s="4"/>
      <c r="B3" s="4"/>
      <c r="C3" s="4"/>
      <c r="D3" s="4"/>
      <c r="E3" s="4"/>
      <c r="F3" s="4"/>
      <c r="G3" s="4"/>
      <c r="H3" s="4"/>
      <c r="I3" s="4"/>
      <c r="J3" s="4"/>
    </row>
    <row r="4" customFormat="false" ht="19.5" hidden="false" customHeight="true" outlineLevel="0" collapsed="false"/>
    <row r="5" customFormat="false" ht="19.5" hidden="false" customHeight="true" outlineLevel="0" collapsed="false">
      <c r="A5" s="5" t="s">
        <v>2</v>
      </c>
      <c r="B5" s="5"/>
      <c r="C5" s="6" t="s">
        <v>3</v>
      </c>
      <c r="D5" s="6"/>
      <c r="E5" s="6"/>
      <c r="F5" s="6"/>
    </row>
    <row r="6" customFormat="false" ht="19.5" hidden="false" customHeight="true" outlineLevel="0" collapsed="false">
      <c r="A6" s="5" t="s">
        <v>4</v>
      </c>
      <c r="B6" s="5"/>
      <c r="C6" s="6" t="s">
        <v>5</v>
      </c>
      <c r="D6" s="6"/>
      <c r="E6" s="6"/>
      <c r="F6" s="6"/>
    </row>
    <row r="7" customFormat="false" ht="19.5" hidden="false" customHeight="true" outlineLevel="0" collapsed="false">
      <c r="A7" s="5" t="s">
        <v>6</v>
      </c>
      <c r="B7" s="5"/>
      <c r="C7" s="6" t="s">
        <v>7</v>
      </c>
      <c r="D7" s="6"/>
      <c r="E7" s="6"/>
      <c r="F7" s="6"/>
    </row>
    <row r="8" customFormat="false" ht="19.5" hidden="false" customHeight="true" outlineLevel="0" collapsed="false">
      <c r="A8" s="5" t="s">
        <v>8</v>
      </c>
      <c r="B8" s="5"/>
      <c r="C8" s="6" t="s">
        <v>9</v>
      </c>
      <c r="D8" s="6"/>
      <c r="E8" s="6"/>
      <c r="F8" s="6"/>
    </row>
    <row r="9" customFormat="false" ht="19.5" hidden="false" customHeight="true" outlineLevel="0" collapsed="false">
      <c r="A9" s="5" t="s">
        <v>10</v>
      </c>
      <c r="B9" s="5"/>
      <c r="C9" s="6" t="s">
        <v>11</v>
      </c>
      <c r="D9" s="6"/>
      <c r="E9" s="6"/>
      <c r="F9" s="6"/>
    </row>
    <row r="10" customFormat="false" ht="19.5" hidden="false" customHeight="true" outlineLevel="0" collapsed="false">
      <c r="A10" s="5" t="s">
        <v>12</v>
      </c>
      <c r="B10" s="5"/>
      <c r="C10" s="6" t="s">
        <v>13</v>
      </c>
      <c r="D10" s="6"/>
      <c r="E10" s="6"/>
      <c r="F10" s="6"/>
    </row>
    <row r="11" customFormat="false" ht="19.5" hidden="false" customHeight="true" outlineLevel="0" collapsed="false">
      <c r="A11" s="5" t="s">
        <v>14</v>
      </c>
      <c r="B11" s="5"/>
      <c r="C11" s="6" t="s">
        <v>15</v>
      </c>
      <c r="D11" s="6"/>
      <c r="E11" s="6"/>
      <c r="F11" s="6"/>
    </row>
    <row r="13" customFormat="false" ht="25.5" hidden="false" customHeight="true" outlineLevel="0" collapsed="false">
      <c r="A13" s="7" t="s">
        <v>16</v>
      </c>
      <c r="B13" s="7"/>
      <c r="C13" s="7"/>
      <c r="D13" s="7"/>
      <c r="E13" s="7"/>
      <c r="F13" s="7"/>
      <c r="G13" s="7"/>
      <c r="H13" s="7"/>
      <c r="I13" s="7"/>
      <c r="J13" s="7"/>
    </row>
    <row r="14" customFormat="false" ht="25.5" hidden="false" customHeight="true" outlineLevel="0" collapsed="false">
      <c r="A14" s="8" t="s">
        <v>17</v>
      </c>
      <c r="B14" s="8"/>
      <c r="C14" s="9" t="s">
        <v>18</v>
      </c>
      <c r="D14" s="9"/>
      <c r="E14" s="10" t="s">
        <v>19</v>
      </c>
      <c r="F14" s="10"/>
      <c r="G14" s="11" t="s">
        <v>20</v>
      </c>
      <c r="H14" s="11"/>
      <c r="I14" s="12"/>
      <c r="J14" s="12"/>
    </row>
    <row r="15" customFormat="false" ht="45.75" hidden="false" customHeight="true" outlineLevel="0" collapsed="false">
      <c r="A15" s="13" t="n">
        <f aca="false">COUNTA('🔴 Risks'!A6:A500)</f>
        <v>14</v>
      </c>
      <c r="B15" s="13"/>
      <c r="C15" s="14" t="n">
        <f aca="false">COUNTA('🟡 Actions'!A6:A500)</f>
        <v>17</v>
      </c>
      <c r="D15" s="14"/>
      <c r="E15" s="15" t="n">
        <f aca="false">COUNTA('🟠 Issues'!A6:A500)</f>
        <v>11</v>
      </c>
      <c r="F15" s="15"/>
      <c r="G15" s="16" t="n">
        <f aca="false">COUNTA('🔵 Decisions'!A6:A500)</f>
        <v>12</v>
      </c>
      <c r="H15" s="16"/>
      <c r="I15" s="12"/>
      <c r="J15" s="12"/>
    </row>
    <row r="16" customFormat="false" ht="19.5" hidden="false" customHeight="true" outlineLevel="0" collapsed="false">
      <c r="A16" s="17" t="str">
        <f aca="false">"Open: "&amp;TEXT(COUNTIF('🔴 Risks'!I6:I500,"Open"),"0")</f>
        <v>Open: 0</v>
      </c>
      <c r="B16" s="17"/>
      <c r="C16" s="18" t="str">
        <f aca="false">"Open: "&amp;TEXT(COUNTIF('🟡 Actions'!H6:H500,"Open"),"0")</f>
        <v>Open: 0</v>
      </c>
      <c r="D16" s="18"/>
      <c r="E16" s="19" t="str">
        <f aca="false">"Open: "&amp;TEXT(COUNTIF('🟠 Issues'!G6:G500,"Open"),"0")</f>
        <v>Open: 0</v>
      </c>
      <c r="F16" s="19"/>
      <c r="G16" s="20" t="str">
        <f aca="false">"Pending: "&amp;TEXT(COUNTIF('🔵 Decisions'!F6:F500,"PENDING*"),"0")</f>
        <v>Pending: 12</v>
      </c>
      <c r="H16" s="20"/>
      <c r="I16" s="12"/>
      <c r="J16" s="12"/>
    </row>
    <row r="17" customFormat="false" ht="19.5" hidden="false" customHeight="true" outlineLevel="0" collapsed="false">
      <c r="A17" s="21" t="str">
        <f aca="false">TEXT(COUNTIF('🔴 Risks'!H6:H500,"Critical"),"0")&amp;" Critical"</f>
        <v>0 Critical</v>
      </c>
      <c r="B17" s="21"/>
      <c r="C17" s="22" t="str">
        <f aca="false">TEXT(COUNTIF('🟡 Actions'!G6:G500,"Critical"),"0")&amp;" Critical"</f>
        <v>0 Critical</v>
      </c>
      <c r="D17" s="22"/>
      <c r="E17" s="23" t="str">
        <f aca="false">TEXT(COUNTIF('🟠 Issues'!F6:F500,"Critical"),"0")&amp;" Critical"</f>
        <v>0 Critical</v>
      </c>
      <c r="F17" s="23"/>
      <c r="G17" s="24" t="str">
        <f aca="false">TEXT(COUNTA('🔵 Decisions'!A6:A500)-COUNTIF('🔵 Decisions'!F6:F500,"PENDING*"),"0")&amp;" Decided"</f>
        <v>0 Decided</v>
      </c>
      <c r="H17" s="24"/>
      <c r="I17" s="12"/>
      <c r="J17" s="12"/>
    </row>
    <row r="18" customFormat="false" ht="19.5" hidden="false" customHeight="true" outlineLevel="0" collapsed="false">
      <c r="A18" s="25" t="s">
        <v>21</v>
      </c>
      <c r="B18" s="25"/>
      <c r="C18" s="26" t="s">
        <v>22</v>
      </c>
      <c r="D18" s="26"/>
      <c r="E18" s="27" t="s">
        <v>23</v>
      </c>
      <c r="F18" s="27"/>
      <c r="G18" s="28" t="s">
        <v>24</v>
      </c>
      <c r="H18" s="28"/>
      <c r="I18" s="12"/>
      <c r="J18" s="12"/>
    </row>
    <row r="19" customFormat="false" ht="21.75" hidden="false" customHeight="true" outlineLevel="0" collapsed="false">
      <c r="A19" s="29"/>
      <c r="B19" s="12"/>
      <c r="C19" s="12"/>
      <c r="D19" s="12"/>
      <c r="E19" s="12"/>
      <c r="F19" s="12"/>
      <c r="G19" s="12"/>
      <c r="H19" s="12"/>
      <c r="I19" s="12"/>
      <c r="J19" s="12"/>
    </row>
    <row r="20" customFormat="false" ht="25.5" hidden="false" customHeight="true" outlineLevel="0" collapsed="false">
      <c r="A20" s="30" t="s">
        <v>25</v>
      </c>
      <c r="B20" s="30"/>
      <c r="C20" s="30"/>
      <c r="D20" s="30"/>
      <c r="E20" s="30"/>
      <c r="F20" s="30"/>
      <c r="G20" s="30"/>
      <c r="H20" s="30"/>
      <c r="I20" s="30"/>
      <c r="J20" s="30"/>
    </row>
    <row r="21" customFormat="false" ht="21.75" hidden="false" customHeight="true" outlineLevel="0" collapsed="false">
      <c r="A21" s="31" t="s">
        <v>8</v>
      </c>
      <c r="B21" s="31" t="s">
        <v>26</v>
      </c>
      <c r="C21" s="31" t="s">
        <v>27</v>
      </c>
      <c r="D21" s="31" t="s">
        <v>28</v>
      </c>
      <c r="E21" s="31" t="s">
        <v>29</v>
      </c>
      <c r="F21" s="31" t="s">
        <v>30</v>
      </c>
      <c r="G21" s="32"/>
      <c r="H21" s="12"/>
      <c r="I21" s="12"/>
      <c r="J21" s="12"/>
    </row>
    <row r="22" customFormat="false" ht="19.5" hidden="false" customHeight="true" outlineLevel="0" collapsed="false">
      <c r="A22" s="33" t="s">
        <v>31</v>
      </c>
      <c r="B22" s="34" t="n">
        <f aca="false">COUNTIF('🔴 Risks'!I6:I500,"Open")</f>
        <v>0</v>
      </c>
      <c r="C22" s="34" t="n">
        <f aca="false">COUNTIF('🟡 Actions'!H6:H500,"Open")</f>
        <v>0</v>
      </c>
      <c r="D22" s="34" t="n">
        <f aca="false">COUNTIF('🟠 Issues'!G6:G500,"Open")</f>
        <v>0</v>
      </c>
      <c r="E22" s="34" t="n">
        <f aca="false">COUNTIF('🔵 Decisions'!F6:F500,"PENDING*")</f>
        <v>12</v>
      </c>
      <c r="F22" s="34" t="n">
        <f aca="false">IFERROR(COUNTIF('🔴 Risks'!I6:I500,"Open"),0)+IFERROR(COUNTIF('🟡 Actions'!H6:H500,"Open"),0)+IFERROR(COUNTIF('🟠 Issues'!G6:G500,"Open"),0)+IFERROR(COUNTIF('🔵 Decisions'!F6:F500,"PENDING*"),0)</f>
        <v>12</v>
      </c>
      <c r="G22" s="32"/>
      <c r="H22" s="12"/>
      <c r="I22" s="12"/>
      <c r="J22" s="12"/>
    </row>
    <row r="23" customFormat="false" ht="19.5" hidden="false" customHeight="true" outlineLevel="0" collapsed="false">
      <c r="A23" s="35" t="s">
        <v>32</v>
      </c>
      <c r="B23" s="36" t="n">
        <f aca="false">COUNTIF('🔴 Risks'!I6:I500,"In Progress")</f>
        <v>0</v>
      </c>
      <c r="C23" s="36" t="n">
        <f aca="false">COUNTIF('🟡 Actions'!H6:H500,"In Progress")</f>
        <v>0</v>
      </c>
      <c r="D23" s="36" t="n">
        <f aca="false">COUNTIF('🟠 Issues'!G6:G500,"In Progress")</f>
        <v>0</v>
      </c>
      <c r="E23" s="36" t="n">
        <f aca="false">0</f>
        <v>0</v>
      </c>
      <c r="F23" s="36" t="n">
        <f aca="false">IFERROR(COUNTIF('🔴 Risks'!I6:I500,"In Progress"),0)+IFERROR(COUNTIF('🟡 Actions'!H6:H500,"In Progress"),0)+IFERROR(COUNTIF('🟠 Issues'!G6:G500,"In Progress"),0)+IFERROR(0,0)</f>
        <v>0</v>
      </c>
      <c r="G23" s="32"/>
      <c r="H23" s="12"/>
      <c r="I23" s="12"/>
      <c r="J23" s="12"/>
    </row>
    <row r="24" customFormat="false" ht="19.5" hidden="false" customHeight="true" outlineLevel="0" collapsed="false">
      <c r="A24" s="37" t="s">
        <v>33</v>
      </c>
      <c r="B24" s="38" t="n">
        <f aca="false">COUNTIF('🔴 Risks'!I6:I500,"Monitoring")</f>
        <v>0</v>
      </c>
      <c r="C24" s="38" t="n">
        <f aca="false">COUNTIF('🟡 Actions'!H6:H500,"Monitoring")</f>
        <v>0</v>
      </c>
      <c r="D24" s="38" t="n">
        <f aca="false">COUNTIF('🟠 Issues'!G6:G500,"Monitoring")</f>
        <v>0</v>
      </c>
      <c r="E24" s="38" t="n">
        <f aca="false">0</f>
        <v>0</v>
      </c>
      <c r="F24" s="38" t="n">
        <f aca="false">IFERROR(COUNTIF('🔴 Risks'!I6:I500,"Monitoring"),0)+IFERROR(COUNTIF('🟡 Actions'!H6:H500,"Monitoring"),0)+IFERROR(COUNTIF('🟠 Issues'!G6:G500,"Monitoring"),0)+IFERROR(0,0)</f>
        <v>0</v>
      </c>
      <c r="G24" s="12"/>
      <c r="H24" s="12"/>
      <c r="I24" s="12"/>
      <c r="J24" s="12"/>
    </row>
    <row r="25" customFormat="false" ht="19.5" hidden="false" customHeight="true" outlineLevel="0" collapsed="false">
      <c r="A25" s="39" t="s">
        <v>34</v>
      </c>
      <c r="B25" s="40" t="n">
        <f aca="false">COUNTIF('🔴 Risks'!I6:I500,"Closed")</f>
        <v>0</v>
      </c>
      <c r="C25" s="40" t="n">
        <f aca="false">COUNTIF('🟡 Actions'!H6:H500,"Closed")</f>
        <v>0</v>
      </c>
      <c r="D25" s="40" t="n">
        <f aca="false">COUNTIF('🟠 Issues'!G6:G500,"Closed")</f>
        <v>0</v>
      </c>
      <c r="E25" s="40" t="n">
        <f aca="false">COUNTA('🔵 Decisions'!A6:A500)-COUNTIF('🔵 Decisions'!F6:F500,"PENDING*")</f>
        <v>0</v>
      </c>
      <c r="F25" s="40" t="n">
        <f aca="false">IFERROR(COUNTIF('🔴 Risks'!I6:I500,"Closed"),0)+IFERROR(COUNTIF('🟡 Actions'!H6:H500,"Closed"),0)+IFERROR(COUNTIF('🟠 Issues'!G6:G500,"Closed"),0)+IFERROR(COUNTA('🔵 Decisions'!A6:A500)-COUNTIF('🔵 Decisions'!F6:F500,"PENDING*"),0)</f>
        <v>0</v>
      </c>
      <c r="G25" s="12"/>
      <c r="H25" s="12"/>
      <c r="I25" s="12"/>
      <c r="J25" s="12"/>
    </row>
    <row r="26" customFormat="false" ht="19.5" hidden="false" customHeight="true" outlineLevel="0" collapsed="false">
      <c r="A26" s="41" t="s">
        <v>35</v>
      </c>
      <c r="B26" s="42" t="n">
        <f aca="false">COUNTIF('🔴 Risks'!I6:I500,"Escalated")</f>
        <v>0</v>
      </c>
      <c r="C26" s="42" t="n">
        <f aca="false">COUNTIF('🟡 Actions'!H6:H500,"Escalated")</f>
        <v>0</v>
      </c>
      <c r="D26" s="42" t="n">
        <f aca="false">COUNTIF('🟠 Issues'!G6:G500,"Escalated")</f>
        <v>0</v>
      </c>
      <c r="E26" s="42" t="n">
        <f aca="false">0</f>
        <v>0</v>
      </c>
      <c r="F26" s="42" t="n">
        <f aca="false">IFERROR(COUNTIF('🔴 Risks'!I6:I500,"Escalated"),0)+IFERROR(COUNTIF('🟡 Actions'!H6:H500,"Escalated"),0)+IFERROR(COUNTIF('🟠 Issues'!G6:G500,"Escalated"),0)+IFERROR(0,0)</f>
        <v>0</v>
      </c>
      <c r="G26" s="12"/>
      <c r="H26" s="12"/>
      <c r="I26" s="12"/>
      <c r="J26" s="12"/>
    </row>
    <row r="27" customFormat="false" ht="19.5" hidden="false" customHeight="true" outlineLevel="0" collapsed="false">
      <c r="A27" s="39" t="s">
        <v>36</v>
      </c>
      <c r="B27" s="40" t="n">
        <f aca="false">COUNTIF('🔴 Risks'!I6:I500,"Resolved")</f>
        <v>0</v>
      </c>
      <c r="C27" s="40" t="n">
        <f aca="false">COUNTIF('🟡 Actions'!H6:H500,"Resolved")</f>
        <v>0</v>
      </c>
      <c r="D27" s="40" t="n">
        <f aca="false">COUNTIF('🟠 Issues'!G6:G500,"Resolved")</f>
        <v>0</v>
      </c>
      <c r="E27" s="40" t="n">
        <f aca="false">0</f>
        <v>0</v>
      </c>
      <c r="F27" s="40" t="n">
        <f aca="false">IFERROR(COUNTIF('🔴 Risks'!I6:I500,"Resolved"),0)+IFERROR(COUNTIF('🟡 Actions'!H6:H500,"Resolved"),0)+IFERROR(COUNTIF('🟠 Issues'!G6:G500,"Resolved"),0)+IFERROR(0,0)</f>
        <v>0</v>
      </c>
      <c r="G27" s="12"/>
      <c r="H27" s="12"/>
      <c r="I27" s="12"/>
      <c r="J27" s="12"/>
    </row>
    <row r="28" customFormat="false" ht="15" hidden="false" customHeight="true" outlineLevel="0" collapsed="false">
      <c r="A28" s="12"/>
      <c r="B28" s="12"/>
      <c r="C28" s="12"/>
      <c r="D28" s="12"/>
      <c r="E28" s="12"/>
      <c r="F28" s="12"/>
      <c r="G28" s="12"/>
      <c r="H28" s="12"/>
      <c r="I28" s="12"/>
      <c r="J28" s="12"/>
    </row>
    <row r="29" customFormat="false" ht="24" hidden="false" customHeight="true" outlineLevel="0" collapsed="false">
      <c r="A29" s="43" t="s">
        <v>37</v>
      </c>
      <c r="B29" s="43" t="n">
        <f aca="false">COUNTA('🔴 Risks'!A6:A500)</f>
        <v>14</v>
      </c>
      <c r="C29" s="43" t="n">
        <f aca="false">COUNTA('🟡 Actions'!A6:A500)</f>
        <v>17</v>
      </c>
      <c r="D29" s="43" t="n">
        <f aca="false">COUNTA('🟠 Issues'!A6:A500)</f>
        <v>11</v>
      </c>
      <c r="E29" s="43" t="n">
        <f aca="false">COUNTA('🔵 Decisions'!A6:A500)</f>
        <v>12</v>
      </c>
      <c r="F29" s="43" t="n">
        <f aca="false">COUNTA('🔴 Risks'!A6:A500)+COUNTA('🟡 Actions'!A6:A500)+COUNTA('🟠 Issues'!A6:A500)+COUNTA('🔵 Decisions'!A6:A500)</f>
        <v>54</v>
      </c>
      <c r="G29" s="12"/>
      <c r="H29" s="12"/>
      <c r="I29" s="12"/>
      <c r="J29" s="12"/>
    </row>
    <row r="30" customFormat="false" ht="15" hidden="false" customHeight="true" outlineLevel="0" collapsed="false">
      <c r="A30" s="12"/>
      <c r="B30" s="12"/>
      <c r="C30" s="12"/>
      <c r="D30" s="12"/>
      <c r="E30" s="12"/>
      <c r="F30" s="12"/>
      <c r="G30" s="12"/>
      <c r="H30" s="12"/>
      <c r="I30" s="12"/>
      <c r="J30" s="12"/>
    </row>
  </sheetData>
  <mergeCells count="39">
    <mergeCell ref="A1:J1"/>
    <mergeCell ref="A2:J2"/>
    <mergeCell ref="A3:J3"/>
    <mergeCell ref="A5:B5"/>
    <mergeCell ref="C5:F5"/>
    <mergeCell ref="A6:B6"/>
    <mergeCell ref="C6:F6"/>
    <mergeCell ref="A7:B7"/>
    <mergeCell ref="C7:F7"/>
    <mergeCell ref="A8:B8"/>
    <mergeCell ref="C8:F8"/>
    <mergeCell ref="A9:B9"/>
    <mergeCell ref="C9:F9"/>
    <mergeCell ref="A10:B10"/>
    <mergeCell ref="C10:F10"/>
    <mergeCell ref="A11:B11"/>
    <mergeCell ref="C11:F11"/>
    <mergeCell ref="A13:J13"/>
    <mergeCell ref="A14:B14"/>
    <mergeCell ref="C14:D14"/>
    <mergeCell ref="E14:F14"/>
    <mergeCell ref="G14:H14"/>
    <mergeCell ref="A15:B15"/>
    <mergeCell ref="C15:D15"/>
    <mergeCell ref="E15:F15"/>
    <mergeCell ref="G15:H15"/>
    <mergeCell ref="A16:B16"/>
    <mergeCell ref="C16:D16"/>
    <mergeCell ref="E16:F16"/>
    <mergeCell ref="G16:H16"/>
    <mergeCell ref="A17:B17"/>
    <mergeCell ref="C17:D17"/>
    <mergeCell ref="E17:F17"/>
    <mergeCell ref="G17:H17"/>
    <mergeCell ref="A18:B18"/>
    <mergeCell ref="C18:D18"/>
    <mergeCell ref="E18:F18"/>
    <mergeCell ref="G18:H18"/>
    <mergeCell ref="A20:J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42"/>
    <col collapsed="false" customWidth="true" hidden="false" outlineLevel="0" max="7" min="4" style="1" width="12"/>
    <col collapsed="false" customWidth="true" hidden="false" outlineLevel="0" max="9" min="8" style="1" width="13"/>
    <col collapsed="false" customWidth="true" hidden="false" outlineLevel="0" max="10" min="10" style="1" width="22"/>
    <col collapsed="false" customWidth="true" hidden="false" outlineLevel="0" max="11" min="11" style="1" width="40"/>
    <col collapsed="false" customWidth="true" hidden="false" outlineLevel="0" max="12" min="12" style="1" width="35"/>
    <col collapsed="false" customWidth="true" hidden="false" outlineLevel="0" max="13" min="13" style="1" width="13"/>
    <col collapsed="false" customWidth="true" hidden="false" outlineLevel="0" max="14" min="14" style="1" width="18"/>
  </cols>
  <sheetData>
    <row r="1" customFormat="false" ht="42" hidden="false" customHeight="true" outlineLevel="0" collapsed="false">
      <c r="A1" s="44" t="s">
        <v>38</v>
      </c>
      <c r="B1" s="44"/>
      <c r="C1" s="44"/>
      <c r="D1" s="44"/>
      <c r="E1" s="44"/>
      <c r="F1" s="44"/>
      <c r="G1" s="44"/>
      <c r="H1" s="44"/>
      <c r="I1" s="44"/>
      <c r="J1" s="44"/>
      <c r="K1" s="44"/>
      <c r="L1" s="44"/>
      <c r="M1" s="44"/>
      <c r="N1" s="44"/>
    </row>
    <row r="2" customFormat="false" ht="21.75" hidden="false" customHeight="true" outlineLevel="0" collapsed="false">
      <c r="A2" s="3" t="s">
        <v>39</v>
      </c>
      <c r="B2" s="3"/>
      <c r="C2" s="3"/>
      <c r="D2" s="3"/>
      <c r="E2" s="3"/>
      <c r="F2" s="3"/>
      <c r="G2" s="3"/>
      <c r="H2" s="3"/>
      <c r="I2" s="3"/>
      <c r="J2" s="3"/>
      <c r="K2" s="3"/>
      <c r="L2" s="3"/>
      <c r="M2" s="3"/>
      <c r="N2" s="3"/>
    </row>
    <row r="3" customFormat="false" ht="18" hidden="false" customHeight="true" outlineLevel="0" collapsed="false">
      <c r="A3" s="4"/>
      <c r="B3" s="4"/>
      <c r="C3" s="4"/>
      <c r="D3" s="4"/>
      <c r="E3" s="4"/>
      <c r="F3" s="4"/>
      <c r="G3" s="4"/>
      <c r="H3" s="4"/>
      <c r="I3" s="4"/>
      <c r="J3" s="4"/>
      <c r="K3" s="4"/>
      <c r="L3" s="4"/>
      <c r="M3" s="4"/>
      <c r="N3" s="4"/>
    </row>
    <row r="5" customFormat="false" ht="36" hidden="false" customHeight="true" outlineLevel="0" collapsed="false">
      <c r="A5" s="45" t="s">
        <v>40</v>
      </c>
      <c r="B5" s="45" t="s">
        <v>41</v>
      </c>
      <c r="C5" s="45" t="s">
        <v>42</v>
      </c>
      <c r="D5" s="45" t="s">
        <v>43</v>
      </c>
      <c r="E5" s="45" t="s">
        <v>44</v>
      </c>
      <c r="F5" s="45" t="s">
        <v>45</v>
      </c>
      <c r="G5" s="45" t="s">
        <v>46</v>
      </c>
      <c r="H5" s="45" t="s">
        <v>47</v>
      </c>
      <c r="I5" s="45" t="s">
        <v>48</v>
      </c>
      <c r="J5" s="45" t="s">
        <v>49</v>
      </c>
      <c r="K5" s="45" t="s">
        <v>50</v>
      </c>
      <c r="L5" s="45" t="s">
        <v>51</v>
      </c>
      <c r="M5" s="45" t="s">
        <v>52</v>
      </c>
      <c r="N5" s="45" t="s">
        <v>53</v>
      </c>
    </row>
    <row r="6" customFormat="false" ht="60" hidden="false" customHeight="true" outlineLevel="0" collapsed="false">
      <c r="A6" s="46" t="s">
        <v>54</v>
      </c>
      <c r="B6" s="46" t="s">
        <v>55</v>
      </c>
      <c r="C6" s="46" t="s">
        <v>56</v>
      </c>
      <c r="D6" s="46" t="s">
        <v>57</v>
      </c>
      <c r="E6" s="47" t="s">
        <v>58</v>
      </c>
      <c r="F6" s="47" t="s">
        <v>59</v>
      </c>
      <c r="G6" s="48" t="n">
        <f aca="false">E6*F6</f>
        <v>20</v>
      </c>
      <c r="H6" s="49"/>
      <c r="I6" s="49"/>
      <c r="J6" s="46" t="s">
        <v>60</v>
      </c>
      <c r="K6" s="46" t="s">
        <v>61</v>
      </c>
      <c r="L6" s="46" t="s">
        <v>62</v>
      </c>
      <c r="M6" s="46" t="s">
        <v>63</v>
      </c>
      <c r="N6" s="46" t="s">
        <v>64</v>
      </c>
    </row>
    <row r="7" customFormat="false" ht="60" hidden="false" customHeight="true" outlineLevel="0" collapsed="false">
      <c r="A7" s="50" t="s">
        <v>65</v>
      </c>
      <c r="B7" s="50" t="s">
        <v>66</v>
      </c>
      <c r="C7" s="50" t="s">
        <v>67</v>
      </c>
      <c r="D7" s="50" t="s">
        <v>68</v>
      </c>
      <c r="E7" s="51" t="s">
        <v>69</v>
      </c>
      <c r="F7" s="51" t="s">
        <v>59</v>
      </c>
      <c r="G7" s="52" t="n">
        <f aca="false">E7*F7</f>
        <v>15</v>
      </c>
      <c r="H7" s="53"/>
      <c r="I7" s="49"/>
      <c r="J7" s="50" t="s">
        <v>70</v>
      </c>
      <c r="K7" s="50" t="s">
        <v>71</v>
      </c>
      <c r="L7" s="50" t="s">
        <v>72</v>
      </c>
      <c r="M7" s="50" t="s">
        <v>73</v>
      </c>
      <c r="N7" s="50" t="s">
        <v>74</v>
      </c>
    </row>
    <row r="8" customFormat="false" ht="60" hidden="false" customHeight="true" outlineLevel="0" collapsed="false">
      <c r="A8" s="46" t="s">
        <v>75</v>
      </c>
      <c r="B8" s="46" t="s">
        <v>76</v>
      </c>
      <c r="C8" s="46" t="s">
        <v>77</v>
      </c>
      <c r="D8" s="46" t="s">
        <v>78</v>
      </c>
      <c r="E8" s="47" t="s">
        <v>58</v>
      </c>
      <c r="F8" s="47" t="s">
        <v>58</v>
      </c>
      <c r="G8" s="48" t="n">
        <f aca="false">E8*F8</f>
        <v>16</v>
      </c>
      <c r="H8" s="53"/>
      <c r="I8" s="49"/>
      <c r="J8" s="46" t="s">
        <v>79</v>
      </c>
      <c r="K8" s="46" t="s">
        <v>80</v>
      </c>
      <c r="L8" s="46" t="s">
        <v>81</v>
      </c>
      <c r="M8" s="46" t="s">
        <v>63</v>
      </c>
      <c r="N8" s="46" t="s">
        <v>74</v>
      </c>
    </row>
    <row r="9" customFormat="false" ht="60" hidden="false" customHeight="true" outlineLevel="0" collapsed="false">
      <c r="A9" s="50" t="s">
        <v>82</v>
      </c>
      <c r="B9" s="50" t="s">
        <v>83</v>
      </c>
      <c r="C9" s="50" t="s">
        <v>84</v>
      </c>
      <c r="D9" s="50" t="s">
        <v>85</v>
      </c>
      <c r="E9" s="51" t="s">
        <v>86</v>
      </c>
      <c r="F9" s="51" t="s">
        <v>59</v>
      </c>
      <c r="G9" s="52" t="n">
        <f aca="false">E9*F9</f>
        <v>10</v>
      </c>
      <c r="H9" s="53"/>
      <c r="I9" s="49"/>
      <c r="J9" s="50" t="s">
        <v>60</v>
      </c>
      <c r="K9" s="50" t="s">
        <v>87</v>
      </c>
      <c r="L9" s="50" t="s">
        <v>88</v>
      </c>
      <c r="M9" s="50" t="s">
        <v>63</v>
      </c>
      <c r="N9" s="50" t="s">
        <v>89</v>
      </c>
    </row>
    <row r="10" customFormat="false" ht="60" hidden="false" customHeight="true" outlineLevel="0" collapsed="false">
      <c r="A10" s="46" t="s">
        <v>90</v>
      </c>
      <c r="B10" s="46" t="s">
        <v>91</v>
      </c>
      <c r="C10" s="46" t="s">
        <v>92</v>
      </c>
      <c r="D10" s="46" t="s">
        <v>93</v>
      </c>
      <c r="E10" s="47" t="s">
        <v>69</v>
      </c>
      <c r="F10" s="47" t="s">
        <v>58</v>
      </c>
      <c r="G10" s="48" t="n">
        <f aca="false">E10*F10</f>
        <v>12</v>
      </c>
      <c r="H10" s="53"/>
      <c r="I10" s="54"/>
      <c r="J10" s="46" t="s">
        <v>94</v>
      </c>
      <c r="K10" s="46" t="s">
        <v>95</v>
      </c>
      <c r="L10" s="46" t="s">
        <v>96</v>
      </c>
      <c r="M10" s="46" t="s">
        <v>97</v>
      </c>
      <c r="N10" s="46" t="s">
        <v>74</v>
      </c>
    </row>
    <row r="11" customFormat="false" ht="60" hidden="false" customHeight="true" outlineLevel="0" collapsed="false">
      <c r="A11" s="50" t="s">
        <v>98</v>
      </c>
      <c r="B11" s="50" t="s">
        <v>99</v>
      </c>
      <c r="C11" s="50" t="s">
        <v>100</v>
      </c>
      <c r="D11" s="50" t="s">
        <v>101</v>
      </c>
      <c r="E11" s="51" t="s">
        <v>69</v>
      </c>
      <c r="F11" s="51" t="s">
        <v>58</v>
      </c>
      <c r="G11" s="52" t="n">
        <f aca="false">E11*F11</f>
        <v>12</v>
      </c>
      <c r="H11" s="53"/>
      <c r="I11" s="49"/>
      <c r="J11" s="50" t="s">
        <v>102</v>
      </c>
      <c r="K11" s="50" t="s">
        <v>103</v>
      </c>
      <c r="L11" s="50" t="s">
        <v>104</v>
      </c>
      <c r="M11" s="50" t="s">
        <v>63</v>
      </c>
      <c r="N11" s="50" t="s">
        <v>89</v>
      </c>
    </row>
    <row r="12" customFormat="false" ht="60" hidden="false" customHeight="true" outlineLevel="0" collapsed="false">
      <c r="A12" s="46" t="s">
        <v>105</v>
      </c>
      <c r="B12" s="46" t="s">
        <v>106</v>
      </c>
      <c r="C12" s="46" t="s">
        <v>107</v>
      </c>
      <c r="D12" s="46" t="s">
        <v>68</v>
      </c>
      <c r="E12" s="47" t="s">
        <v>86</v>
      </c>
      <c r="F12" s="47" t="s">
        <v>58</v>
      </c>
      <c r="G12" s="48" t="n">
        <f aca="false">E12*F12</f>
        <v>8</v>
      </c>
      <c r="H12" s="54"/>
      <c r="I12" s="54"/>
      <c r="J12" s="46" t="s">
        <v>108</v>
      </c>
      <c r="K12" s="46" t="s">
        <v>109</v>
      </c>
      <c r="L12" s="46" t="s">
        <v>110</v>
      </c>
      <c r="M12" s="46" t="s">
        <v>111</v>
      </c>
      <c r="N12" s="46" t="s">
        <v>89</v>
      </c>
    </row>
    <row r="13" customFormat="false" ht="60" hidden="false" customHeight="true" outlineLevel="0" collapsed="false">
      <c r="A13" s="50" t="s">
        <v>112</v>
      </c>
      <c r="B13" s="50" t="s">
        <v>83</v>
      </c>
      <c r="C13" s="50" t="s">
        <v>113</v>
      </c>
      <c r="D13" s="50" t="s">
        <v>114</v>
      </c>
      <c r="E13" s="51" t="s">
        <v>86</v>
      </c>
      <c r="F13" s="51" t="s">
        <v>58</v>
      </c>
      <c r="G13" s="52" t="n">
        <f aca="false">E13*F13</f>
        <v>8</v>
      </c>
      <c r="H13" s="54"/>
      <c r="I13" s="49"/>
      <c r="J13" s="50" t="s">
        <v>115</v>
      </c>
      <c r="K13" s="50" t="s">
        <v>116</v>
      </c>
      <c r="L13" s="50" t="s">
        <v>117</v>
      </c>
      <c r="M13" s="50" t="s">
        <v>63</v>
      </c>
      <c r="N13" s="50" t="s">
        <v>89</v>
      </c>
    </row>
    <row r="14" customFormat="false" ht="60" hidden="false" customHeight="true" outlineLevel="0" collapsed="false">
      <c r="A14" s="46" t="s">
        <v>118</v>
      </c>
      <c r="B14" s="46" t="s">
        <v>119</v>
      </c>
      <c r="C14" s="46" t="s">
        <v>120</v>
      </c>
      <c r="D14" s="46" t="s">
        <v>121</v>
      </c>
      <c r="E14" s="47" t="s">
        <v>69</v>
      </c>
      <c r="F14" s="47" t="s">
        <v>86</v>
      </c>
      <c r="G14" s="48" t="n">
        <f aca="false">E14*F14</f>
        <v>6</v>
      </c>
      <c r="H14" s="54"/>
      <c r="I14" s="49"/>
      <c r="J14" s="46" t="s">
        <v>70</v>
      </c>
      <c r="K14" s="46" t="s">
        <v>122</v>
      </c>
      <c r="L14" s="46" t="s">
        <v>123</v>
      </c>
      <c r="M14" s="46" t="s">
        <v>63</v>
      </c>
      <c r="N14" s="46" t="s">
        <v>89</v>
      </c>
    </row>
    <row r="15" customFormat="false" ht="60" hidden="false" customHeight="true" outlineLevel="0" collapsed="false">
      <c r="A15" s="50" t="s">
        <v>124</v>
      </c>
      <c r="B15" s="50" t="s">
        <v>125</v>
      </c>
      <c r="C15" s="50" t="s">
        <v>126</v>
      </c>
      <c r="D15" s="50" t="s">
        <v>127</v>
      </c>
      <c r="E15" s="51" t="s">
        <v>69</v>
      </c>
      <c r="F15" s="51" t="s">
        <v>69</v>
      </c>
      <c r="G15" s="52" t="n">
        <f aca="false">E15*F15</f>
        <v>9</v>
      </c>
      <c r="H15" s="54"/>
      <c r="I15" s="49"/>
      <c r="J15" s="50" t="s">
        <v>70</v>
      </c>
      <c r="K15" s="50" t="s">
        <v>128</v>
      </c>
      <c r="L15" s="50" t="s">
        <v>129</v>
      </c>
      <c r="M15" s="50" t="s">
        <v>63</v>
      </c>
      <c r="N15" s="50" t="s">
        <v>89</v>
      </c>
    </row>
    <row r="16" customFormat="false" ht="60" hidden="false" customHeight="true" outlineLevel="0" collapsed="false">
      <c r="A16" s="46" t="s">
        <v>130</v>
      </c>
      <c r="B16" s="46" t="s">
        <v>131</v>
      </c>
      <c r="C16" s="46" t="s">
        <v>132</v>
      </c>
      <c r="D16" s="46" t="s">
        <v>133</v>
      </c>
      <c r="E16" s="47" t="s">
        <v>86</v>
      </c>
      <c r="F16" s="47" t="s">
        <v>59</v>
      </c>
      <c r="G16" s="48" t="n">
        <f aca="false">E16*F16</f>
        <v>10</v>
      </c>
      <c r="H16" s="53"/>
      <c r="I16" s="49"/>
      <c r="J16" s="46" t="s">
        <v>60</v>
      </c>
      <c r="K16" s="46" t="s">
        <v>134</v>
      </c>
      <c r="L16" s="46" t="s">
        <v>135</v>
      </c>
      <c r="M16" s="46" t="s">
        <v>73</v>
      </c>
      <c r="N16" s="46" t="s">
        <v>89</v>
      </c>
    </row>
    <row r="17" customFormat="false" ht="60" hidden="false" customHeight="true" outlineLevel="0" collapsed="false">
      <c r="A17" s="50" t="s">
        <v>136</v>
      </c>
      <c r="B17" s="50" t="s">
        <v>83</v>
      </c>
      <c r="C17" s="50" t="s">
        <v>137</v>
      </c>
      <c r="D17" s="50" t="s">
        <v>138</v>
      </c>
      <c r="E17" s="51" t="s">
        <v>86</v>
      </c>
      <c r="F17" s="51" t="s">
        <v>69</v>
      </c>
      <c r="G17" s="52" t="n">
        <f aca="false">E17*F17</f>
        <v>6</v>
      </c>
      <c r="H17" s="54"/>
      <c r="I17" s="49"/>
      <c r="J17" s="50" t="s">
        <v>60</v>
      </c>
      <c r="K17" s="50" t="s">
        <v>139</v>
      </c>
      <c r="L17" s="50" t="s">
        <v>140</v>
      </c>
      <c r="M17" s="50" t="s">
        <v>73</v>
      </c>
      <c r="N17" s="50" t="s">
        <v>89</v>
      </c>
    </row>
    <row r="18" customFormat="false" ht="60" hidden="false" customHeight="true" outlineLevel="0" collapsed="false">
      <c r="A18" s="46" t="s">
        <v>141</v>
      </c>
      <c r="B18" s="46" t="s">
        <v>142</v>
      </c>
      <c r="C18" s="46" t="s">
        <v>143</v>
      </c>
      <c r="D18" s="46" t="s">
        <v>144</v>
      </c>
      <c r="E18" s="47" t="s">
        <v>86</v>
      </c>
      <c r="F18" s="47" t="s">
        <v>69</v>
      </c>
      <c r="G18" s="48" t="n">
        <f aca="false">E18*F18</f>
        <v>6</v>
      </c>
      <c r="H18" s="54"/>
      <c r="I18" s="49"/>
      <c r="J18" s="46" t="s">
        <v>145</v>
      </c>
      <c r="K18" s="46" t="s">
        <v>146</v>
      </c>
      <c r="L18" s="46" t="s">
        <v>147</v>
      </c>
      <c r="M18" s="46" t="s">
        <v>73</v>
      </c>
      <c r="N18" s="46" t="s">
        <v>89</v>
      </c>
    </row>
    <row r="19" customFormat="false" ht="60" hidden="false" customHeight="true" outlineLevel="0" collapsed="false">
      <c r="A19" s="50" t="s">
        <v>148</v>
      </c>
      <c r="B19" s="50" t="s">
        <v>149</v>
      </c>
      <c r="C19" s="50" t="s">
        <v>150</v>
      </c>
      <c r="D19" s="50" t="s">
        <v>151</v>
      </c>
      <c r="E19" s="51" t="s">
        <v>152</v>
      </c>
      <c r="F19" s="51" t="s">
        <v>59</v>
      </c>
      <c r="G19" s="52" t="n">
        <f aca="false">E19*F19</f>
        <v>5</v>
      </c>
      <c r="H19" s="54"/>
      <c r="I19" s="54"/>
      <c r="J19" s="50" t="s">
        <v>102</v>
      </c>
      <c r="K19" s="50" t="s">
        <v>153</v>
      </c>
      <c r="L19" s="50" t="s">
        <v>154</v>
      </c>
      <c r="M19" s="50" t="s">
        <v>155</v>
      </c>
      <c r="N19" s="50" t="s">
        <v>89</v>
      </c>
    </row>
  </sheetData>
  <autoFilter ref="A5:N5"/>
  <mergeCells count="3">
    <mergeCell ref="A1:N1"/>
    <mergeCell ref="A2:N2"/>
    <mergeCell ref="A3:N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42"/>
    <col collapsed="false" customWidth="true" hidden="false" outlineLevel="0" max="6" min="4" style="1" width="22"/>
    <col collapsed="false" customWidth="true" hidden="false" outlineLevel="0" max="7" min="7" style="1" width="12"/>
    <col collapsed="false" customWidth="true" hidden="false" outlineLevel="0" max="9" min="8" style="1" width="13"/>
    <col collapsed="false" customWidth="true" hidden="false" outlineLevel="0" max="10" min="10" style="1" width="14"/>
    <col collapsed="false" customWidth="true" hidden="false" outlineLevel="0" max="11" min="11" style="1" width="35"/>
    <col collapsed="false" customWidth="true" hidden="false" outlineLevel="0" max="13" min="12" style="1" width="12"/>
  </cols>
  <sheetData>
    <row r="1" customFormat="false" ht="42" hidden="false" customHeight="true" outlineLevel="0" collapsed="false">
      <c r="A1" s="44" t="s">
        <v>156</v>
      </c>
      <c r="B1" s="44"/>
      <c r="C1" s="44"/>
      <c r="D1" s="44"/>
      <c r="E1" s="44"/>
      <c r="F1" s="44"/>
      <c r="G1" s="44"/>
      <c r="H1" s="44"/>
      <c r="I1" s="44"/>
      <c r="J1" s="44"/>
      <c r="K1" s="44"/>
      <c r="L1" s="44"/>
      <c r="M1" s="44"/>
    </row>
    <row r="2" customFormat="false" ht="21.75" hidden="false" customHeight="true" outlineLevel="0" collapsed="false">
      <c r="A2" s="3" t="s">
        <v>157</v>
      </c>
      <c r="B2" s="3"/>
      <c r="C2" s="3"/>
      <c r="D2" s="3"/>
      <c r="E2" s="3"/>
      <c r="F2" s="3"/>
      <c r="G2" s="3"/>
      <c r="H2" s="3"/>
      <c r="I2" s="3"/>
      <c r="J2" s="3"/>
      <c r="K2" s="3"/>
      <c r="L2" s="3"/>
      <c r="M2" s="3"/>
    </row>
    <row r="3" customFormat="false" ht="18" hidden="false" customHeight="true" outlineLevel="0" collapsed="false">
      <c r="A3" s="4"/>
      <c r="B3" s="4"/>
      <c r="C3" s="4"/>
      <c r="D3" s="4"/>
      <c r="E3" s="4"/>
      <c r="F3" s="4"/>
      <c r="G3" s="4"/>
      <c r="H3" s="4"/>
      <c r="I3" s="4"/>
      <c r="J3" s="4"/>
      <c r="K3" s="4"/>
      <c r="L3" s="4"/>
      <c r="M3" s="4"/>
    </row>
    <row r="5" customFormat="false" ht="36" hidden="false" customHeight="true" outlineLevel="0" collapsed="false">
      <c r="A5" s="45" t="s">
        <v>158</v>
      </c>
      <c r="B5" s="45" t="s">
        <v>41</v>
      </c>
      <c r="C5" s="45" t="s">
        <v>159</v>
      </c>
      <c r="D5" s="45" t="s">
        <v>160</v>
      </c>
      <c r="E5" s="45" t="s">
        <v>49</v>
      </c>
      <c r="F5" s="45" t="s">
        <v>161</v>
      </c>
      <c r="G5" s="45" t="s">
        <v>162</v>
      </c>
      <c r="H5" s="45" t="s">
        <v>8</v>
      </c>
      <c r="I5" s="45" t="s">
        <v>163</v>
      </c>
      <c r="J5" s="45" t="s">
        <v>164</v>
      </c>
      <c r="K5" s="45" t="s">
        <v>165</v>
      </c>
      <c r="L5" s="45" t="s">
        <v>166</v>
      </c>
      <c r="M5" s="45" t="s">
        <v>167</v>
      </c>
    </row>
    <row r="6" customFormat="false" ht="54.75" hidden="false" customHeight="true" outlineLevel="0" collapsed="false">
      <c r="A6" s="46" t="s">
        <v>168</v>
      </c>
      <c r="B6" s="46" t="s">
        <v>55</v>
      </c>
      <c r="C6" s="46" t="s">
        <v>169</v>
      </c>
      <c r="D6" s="46" t="s">
        <v>170</v>
      </c>
      <c r="E6" s="46" t="s">
        <v>60</v>
      </c>
      <c r="F6" s="46" t="s">
        <v>171</v>
      </c>
      <c r="G6" s="49"/>
      <c r="H6" s="49"/>
      <c r="I6" s="46" t="s">
        <v>172</v>
      </c>
      <c r="J6" s="46"/>
      <c r="K6" s="46" t="s">
        <v>173</v>
      </c>
      <c r="L6" s="46" t="s">
        <v>174</v>
      </c>
      <c r="M6" s="46" t="s">
        <v>133</v>
      </c>
    </row>
    <row r="7" customFormat="false" ht="54.75" hidden="false" customHeight="true" outlineLevel="0" collapsed="false">
      <c r="A7" s="50" t="s">
        <v>175</v>
      </c>
      <c r="B7" s="50" t="s">
        <v>55</v>
      </c>
      <c r="C7" s="50" t="s">
        <v>176</v>
      </c>
      <c r="D7" s="50" t="s">
        <v>177</v>
      </c>
      <c r="E7" s="50" t="s">
        <v>178</v>
      </c>
      <c r="F7" s="50" t="s">
        <v>179</v>
      </c>
      <c r="G7" s="49"/>
      <c r="H7" s="49"/>
      <c r="I7" s="50" t="s">
        <v>180</v>
      </c>
      <c r="J7" s="50"/>
      <c r="K7" s="50" t="s">
        <v>181</v>
      </c>
      <c r="L7" s="50" t="s">
        <v>182</v>
      </c>
      <c r="M7" s="50" t="s">
        <v>133</v>
      </c>
    </row>
    <row r="8" customFormat="false" ht="54.75" hidden="false" customHeight="true" outlineLevel="0" collapsed="false">
      <c r="A8" s="46" t="s">
        <v>183</v>
      </c>
      <c r="B8" s="46" t="s">
        <v>184</v>
      </c>
      <c r="C8" s="46" t="s">
        <v>185</v>
      </c>
      <c r="D8" s="46" t="s">
        <v>186</v>
      </c>
      <c r="E8" s="46" t="s">
        <v>60</v>
      </c>
      <c r="F8" s="46" t="s">
        <v>187</v>
      </c>
      <c r="G8" s="49"/>
      <c r="H8" s="49"/>
      <c r="I8" s="46" t="s">
        <v>172</v>
      </c>
      <c r="J8" s="46"/>
      <c r="K8" s="46" t="s">
        <v>188</v>
      </c>
      <c r="L8" s="46" t="s">
        <v>189</v>
      </c>
      <c r="M8" s="46" t="s">
        <v>190</v>
      </c>
    </row>
    <row r="9" customFormat="false" ht="54.75" hidden="false" customHeight="true" outlineLevel="0" collapsed="false">
      <c r="A9" s="50" t="s">
        <v>191</v>
      </c>
      <c r="B9" s="50" t="s">
        <v>192</v>
      </c>
      <c r="C9" s="50" t="s">
        <v>193</v>
      </c>
      <c r="D9" s="50" t="s">
        <v>194</v>
      </c>
      <c r="E9" s="50" t="s">
        <v>60</v>
      </c>
      <c r="F9" s="50" t="s">
        <v>187</v>
      </c>
      <c r="G9" s="49"/>
      <c r="H9" s="49"/>
      <c r="I9" s="50" t="s">
        <v>172</v>
      </c>
      <c r="J9" s="50"/>
      <c r="K9" s="50" t="s">
        <v>195</v>
      </c>
      <c r="L9" s="50" t="s">
        <v>189</v>
      </c>
      <c r="M9" s="50" t="s">
        <v>196</v>
      </c>
    </row>
    <row r="10" customFormat="false" ht="54.75" hidden="false" customHeight="true" outlineLevel="0" collapsed="false">
      <c r="A10" s="46" t="s">
        <v>197</v>
      </c>
      <c r="B10" s="46" t="s">
        <v>76</v>
      </c>
      <c r="C10" s="46" t="s">
        <v>198</v>
      </c>
      <c r="D10" s="46" t="s">
        <v>199</v>
      </c>
      <c r="E10" s="46" t="s">
        <v>79</v>
      </c>
      <c r="F10" s="46" t="s">
        <v>200</v>
      </c>
      <c r="G10" s="53"/>
      <c r="H10" s="49"/>
      <c r="I10" s="46" t="s">
        <v>201</v>
      </c>
      <c r="J10" s="46"/>
      <c r="K10" s="46" t="s">
        <v>202</v>
      </c>
      <c r="L10" s="46" t="s">
        <v>203</v>
      </c>
      <c r="M10" s="46" t="s">
        <v>204</v>
      </c>
    </row>
    <row r="11" customFormat="false" ht="54.75" hidden="false" customHeight="true" outlineLevel="0" collapsed="false">
      <c r="A11" s="50" t="s">
        <v>205</v>
      </c>
      <c r="B11" s="50" t="s">
        <v>76</v>
      </c>
      <c r="C11" s="50" t="s">
        <v>206</v>
      </c>
      <c r="D11" s="50" t="s">
        <v>207</v>
      </c>
      <c r="E11" s="50" t="s">
        <v>79</v>
      </c>
      <c r="F11" s="50" t="s">
        <v>200</v>
      </c>
      <c r="G11" s="53"/>
      <c r="H11" s="49"/>
      <c r="I11" s="50" t="s">
        <v>180</v>
      </c>
      <c r="J11" s="50"/>
      <c r="K11" s="50" t="s">
        <v>208</v>
      </c>
      <c r="L11" s="50" t="s">
        <v>203</v>
      </c>
      <c r="M11" s="50" t="s">
        <v>209</v>
      </c>
    </row>
    <row r="12" customFormat="false" ht="54.75" hidden="false" customHeight="true" outlineLevel="0" collapsed="false">
      <c r="A12" s="46" t="s">
        <v>210</v>
      </c>
      <c r="B12" s="46" t="s">
        <v>211</v>
      </c>
      <c r="C12" s="46" t="s">
        <v>212</v>
      </c>
      <c r="D12" s="46" t="s">
        <v>213</v>
      </c>
      <c r="E12" s="46" t="s">
        <v>70</v>
      </c>
      <c r="F12" s="46" t="s">
        <v>214</v>
      </c>
      <c r="G12" s="53"/>
      <c r="H12" s="49"/>
      <c r="I12" s="46" t="s">
        <v>215</v>
      </c>
      <c r="J12" s="46"/>
      <c r="K12" s="46" t="s">
        <v>216</v>
      </c>
      <c r="L12" s="46" t="s">
        <v>217</v>
      </c>
      <c r="M12" s="46" t="s">
        <v>218</v>
      </c>
    </row>
    <row r="13" customFormat="false" ht="54.75" hidden="false" customHeight="true" outlineLevel="0" collapsed="false">
      <c r="A13" s="50" t="s">
        <v>219</v>
      </c>
      <c r="B13" s="50" t="s">
        <v>211</v>
      </c>
      <c r="C13" s="50" t="s">
        <v>220</v>
      </c>
      <c r="D13" s="50" t="s">
        <v>221</v>
      </c>
      <c r="E13" s="50" t="s">
        <v>70</v>
      </c>
      <c r="F13" s="50" t="s">
        <v>214</v>
      </c>
      <c r="G13" s="53"/>
      <c r="H13" s="49"/>
      <c r="I13" s="50" t="s">
        <v>215</v>
      </c>
      <c r="J13" s="50"/>
      <c r="K13" s="50" t="s">
        <v>222</v>
      </c>
      <c r="L13" s="50" t="s">
        <v>223</v>
      </c>
      <c r="M13" s="50" t="s">
        <v>224</v>
      </c>
    </row>
    <row r="14" customFormat="false" ht="54.75" hidden="false" customHeight="true" outlineLevel="0" collapsed="false">
      <c r="A14" s="46" t="s">
        <v>225</v>
      </c>
      <c r="B14" s="46" t="s">
        <v>142</v>
      </c>
      <c r="C14" s="46" t="s">
        <v>226</v>
      </c>
      <c r="D14" s="46" t="s">
        <v>227</v>
      </c>
      <c r="E14" s="46" t="s">
        <v>145</v>
      </c>
      <c r="F14" s="46" t="s">
        <v>228</v>
      </c>
      <c r="G14" s="53"/>
      <c r="H14" s="49"/>
      <c r="I14" s="46" t="s">
        <v>229</v>
      </c>
      <c r="J14" s="46"/>
      <c r="K14" s="46" t="s">
        <v>230</v>
      </c>
      <c r="L14" s="46" t="s">
        <v>231</v>
      </c>
      <c r="M14" s="46" t="s">
        <v>232</v>
      </c>
    </row>
    <row r="15" customFormat="false" ht="54.75" hidden="false" customHeight="true" outlineLevel="0" collapsed="false">
      <c r="A15" s="50" t="s">
        <v>233</v>
      </c>
      <c r="B15" s="50" t="s">
        <v>234</v>
      </c>
      <c r="C15" s="50" t="s">
        <v>235</v>
      </c>
      <c r="D15" s="50" t="s">
        <v>236</v>
      </c>
      <c r="E15" s="50" t="s">
        <v>60</v>
      </c>
      <c r="F15" s="50" t="s">
        <v>237</v>
      </c>
      <c r="G15" s="53"/>
      <c r="H15" s="49"/>
      <c r="I15" s="50" t="s">
        <v>172</v>
      </c>
      <c r="J15" s="50"/>
      <c r="K15" s="50" t="s">
        <v>238</v>
      </c>
      <c r="L15" s="50" t="s">
        <v>239</v>
      </c>
      <c r="M15" s="50" t="s">
        <v>240</v>
      </c>
    </row>
    <row r="16" customFormat="false" ht="54.75" hidden="false" customHeight="true" outlineLevel="0" collapsed="false">
      <c r="A16" s="46" t="s">
        <v>241</v>
      </c>
      <c r="B16" s="46" t="s">
        <v>242</v>
      </c>
      <c r="C16" s="46" t="s">
        <v>243</v>
      </c>
      <c r="D16" s="46" t="s">
        <v>236</v>
      </c>
      <c r="E16" s="46" t="s">
        <v>10</v>
      </c>
      <c r="F16" s="46" t="s">
        <v>244</v>
      </c>
      <c r="G16" s="53"/>
      <c r="H16" s="49"/>
      <c r="I16" s="46" t="s">
        <v>245</v>
      </c>
      <c r="J16" s="46"/>
      <c r="K16" s="46" t="s">
        <v>246</v>
      </c>
      <c r="L16" s="46" t="s">
        <v>239</v>
      </c>
      <c r="M16" s="46" t="s">
        <v>232</v>
      </c>
    </row>
    <row r="17" customFormat="false" ht="54.75" hidden="false" customHeight="true" outlineLevel="0" collapsed="false">
      <c r="A17" s="50" t="s">
        <v>247</v>
      </c>
      <c r="B17" s="50" t="s">
        <v>131</v>
      </c>
      <c r="C17" s="50" t="s">
        <v>248</v>
      </c>
      <c r="D17" s="50" t="s">
        <v>249</v>
      </c>
      <c r="E17" s="50" t="s">
        <v>60</v>
      </c>
      <c r="F17" s="50" t="s">
        <v>250</v>
      </c>
      <c r="G17" s="53"/>
      <c r="H17" s="49"/>
      <c r="I17" s="50" t="s">
        <v>251</v>
      </c>
      <c r="J17" s="50"/>
      <c r="K17" s="50" t="s">
        <v>252</v>
      </c>
      <c r="L17" s="50" t="s">
        <v>253</v>
      </c>
      <c r="M17" s="50" t="s">
        <v>224</v>
      </c>
    </row>
    <row r="18" customFormat="false" ht="54.75" hidden="false" customHeight="true" outlineLevel="0" collapsed="false">
      <c r="A18" s="46" t="s">
        <v>254</v>
      </c>
      <c r="B18" s="46" t="s">
        <v>255</v>
      </c>
      <c r="C18" s="46" t="s">
        <v>256</v>
      </c>
      <c r="D18" s="46" t="s">
        <v>257</v>
      </c>
      <c r="E18" s="46" t="s">
        <v>258</v>
      </c>
      <c r="F18" s="46" t="s">
        <v>259</v>
      </c>
      <c r="G18" s="54"/>
      <c r="H18" s="49"/>
      <c r="I18" s="46" t="s">
        <v>251</v>
      </c>
      <c r="J18" s="46"/>
      <c r="K18" s="46" t="s">
        <v>260</v>
      </c>
      <c r="L18" s="46" t="s">
        <v>253</v>
      </c>
      <c r="M18" s="46" t="s">
        <v>224</v>
      </c>
    </row>
    <row r="19" customFormat="false" ht="54.75" hidden="false" customHeight="true" outlineLevel="0" collapsed="false">
      <c r="A19" s="50" t="s">
        <v>261</v>
      </c>
      <c r="B19" s="50" t="s">
        <v>255</v>
      </c>
      <c r="C19" s="50" t="s">
        <v>262</v>
      </c>
      <c r="D19" s="50" t="s">
        <v>263</v>
      </c>
      <c r="E19" s="50" t="s">
        <v>60</v>
      </c>
      <c r="F19" s="50" t="s">
        <v>264</v>
      </c>
      <c r="G19" s="54"/>
      <c r="H19" s="49"/>
      <c r="I19" s="50" t="s">
        <v>265</v>
      </c>
      <c r="J19" s="50"/>
      <c r="K19" s="50" t="s">
        <v>266</v>
      </c>
      <c r="L19" s="50" t="s">
        <v>253</v>
      </c>
      <c r="M19" s="50" t="s">
        <v>224</v>
      </c>
    </row>
    <row r="20" customFormat="false" ht="54.75" hidden="false" customHeight="true" outlineLevel="0" collapsed="false">
      <c r="A20" s="46" t="s">
        <v>267</v>
      </c>
      <c r="B20" s="46" t="s">
        <v>268</v>
      </c>
      <c r="C20" s="46" t="s">
        <v>269</v>
      </c>
      <c r="D20" s="46" t="s">
        <v>270</v>
      </c>
      <c r="E20" s="46" t="s">
        <v>70</v>
      </c>
      <c r="F20" s="46" t="s">
        <v>271</v>
      </c>
      <c r="G20" s="53"/>
      <c r="H20" s="49"/>
      <c r="I20" s="46" t="s">
        <v>272</v>
      </c>
      <c r="J20" s="46"/>
      <c r="K20" s="46" t="s">
        <v>273</v>
      </c>
      <c r="L20" s="46" t="s">
        <v>239</v>
      </c>
      <c r="M20" s="46" t="s">
        <v>274</v>
      </c>
    </row>
    <row r="21" customFormat="false" ht="54.75" hidden="false" customHeight="true" outlineLevel="0" collapsed="false">
      <c r="A21" s="50" t="s">
        <v>275</v>
      </c>
      <c r="B21" s="50" t="s">
        <v>276</v>
      </c>
      <c r="C21" s="50" t="s">
        <v>277</v>
      </c>
      <c r="D21" s="50" t="s">
        <v>278</v>
      </c>
      <c r="E21" s="50" t="s">
        <v>70</v>
      </c>
      <c r="F21" s="50" t="s">
        <v>108</v>
      </c>
      <c r="G21" s="49"/>
      <c r="H21" s="49"/>
      <c r="I21" s="50" t="s">
        <v>272</v>
      </c>
      <c r="J21" s="50"/>
      <c r="K21" s="50" t="s">
        <v>279</v>
      </c>
      <c r="L21" s="50" t="s">
        <v>239</v>
      </c>
      <c r="M21" s="50" t="s">
        <v>280</v>
      </c>
    </row>
    <row r="22" customFormat="false" ht="54.75" hidden="false" customHeight="true" outlineLevel="0" collapsed="false">
      <c r="A22" s="46" t="s">
        <v>281</v>
      </c>
      <c r="B22" s="46" t="s">
        <v>282</v>
      </c>
      <c r="C22" s="46" t="s">
        <v>283</v>
      </c>
      <c r="D22" s="46" t="s">
        <v>284</v>
      </c>
      <c r="E22" s="46" t="s">
        <v>10</v>
      </c>
      <c r="F22" s="46" t="s">
        <v>285</v>
      </c>
      <c r="G22" s="54"/>
      <c r="H22" s="49"/>
      <c r="I22" s="46" t="s">
        <v>286</v>
      </c>
      <c r="J22" s="46"/>
      <c r="K22" s="46" t="s">
        <v>287</v>
      </c>
      <c r="L22" s="46" t="s">
        <v>239</v>
      </c>
      <c r="M22" s="46" t="s">
        <v>204</v>
      </c>
    </row>
  </sheetData>
  <autoFilter ref="A5:M5"/>
  <mergeCells count="3">
    <mergeCell ref="A1:M1"/>
    <mergeCell ref="A2:M2"/>
    <mergeCell ref="A3:M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42"/>
    <col collapsed="false" customWidth="true" hidden="false" outlineLevel="0" max="4" min="4" style="1" width="25"/>
    <col collapsed="false" customWidth="true" hidden="false" outlineLevel="0" max="5" min="5" style="1" width="30"/>
    <col collapsed="false" customWidth="true" hidden="false" outlineLevel="0" max="6" min="6" style="1" width="12"/>
    <col collapsed="false" customWidth="true" hidden="false" outlineLevel="0" max="7" min="7" style="1" width="13"/>
    <col collapsed="false" customWidth="true" hidden="false" outlineLevel="0" max="8" min="8" style="1" width="22"/>
    <col collapsed="false" customWidth="true" hidden="false" outlineLevel="0" max="9" min="9" style="1" width="13"/>
    <col collapsed="false" customWidth="true" hidden="false" outlineLevel="0" max="10" min="10" style="1" width="14"/>
    <col collapsed="false" customWidth="true" hidden="false" outlineLevel="0" max="11" min="11" style="1" width="35"/>
    <col collapsed="false" customWidth="true" hidden="false" outlineLevel="0" max="13" min="12" style="1" width="12"/>
  </cols>
  <sheetData>
    <row r="1" customFormat="false" ht="42" hidden="false" customHeight="true" outlineLevel="0" collapsed="false">
      <c r="A1" s="44" t="s">
        <v>288</v>
      </c>
      <c r="B1" s="44"/>
      <c r="C1" s="44"/>
      <c r="D1" s="44"/>
      <c r="E1" s="44"/>
      <c r="F1" s="44"/>
      <c r="G1" s="44"/>
      <c r="H1" s="44"/>
      <c r="I1" s="44"/>
      <c r="J1" s="44"/>
      <c r="K1" s="44"/>
      <c r="L1" s="44"/>
      <c r="M1" s="44"/>
    </row>
    <row r="2" customFormat="false" ht="21.75" hidden="false" customHeight="true" outlineLevel="0" collapsed="false">
      <c r="A2" s="3" t="s">
        <v>289</v>
      </c>
      <c r="B2" s="3"/>
      <c r="C2" s="3"/>
      <c r="D2" s="3"/>
      <c r="E2" s="3"/>
      <c r="F2" s="3"/>
      <c r="G2" s="3"/>
      <c r="H2" s="3"/>
      <c r="I2" s="3"/>
      <c r="J2" s="3"/>
      <c r="K2" s="3"/>
      <c r="L2" s="3"/>
      <c r="M2" s="3"/>
    </row>
    <row r="3" customFormat="false" ht="18" hidden="false" customHeight="true" outlineLevel="0" collapsed="false">
      <c r="A3" s="4"/>
      <c r="B3" s="4"/>
      <c r="C3" s="4"/>
      <c r="D3" s="4"/>
      <c r="E3" s="4"/>
      <c r="F3" s="4"/>
      <c r="G3" s="4"/>
      <c r="H3" s="4"/>
      <c r="I3" s="4"/>
      <c r="J3" s="4"/>
      <c r="K3" s="4"/>
      <c r="L3" s="4"/>
      <c r="M3" s="4"/>
    </row>
    <row r="5" customFormat="false" ht="36" hidden="false" customHeight="true" outlineLevel="0" collapsed="false">
      <c r="A5" s="45" t="s">
        <v>290</v>
      </c>
      <c r="B5" s="45" t="s">
        <v>41</v>
      </c>
      <c r="C5" s="45" t="s">
        <v>291</v>
      </c>
      <c r="D5" s="45" t="s">
        <v>292</v>
      </c>
      <c r="E5" s="45" t="s">
        <v>293</v>
      </c>
      <c r="F5" s="45" t="s">
        <v>294</v>
      </c>
      <c r="G5" s="45" t="s">
        <v>8</v>
      </c>
      <c r="H5" s="45" t="s">
        <v>49</v>
      </c>
      <c r="I5" s="45" t="s">
        <v>295</v>
      </c>
      <c r="J5" s="45" t="s">
        <v>296</v>
      </c>
      <c r="K5" s="45" t="s">
        <v>297</v>
      </c>
      <c r="L5" s="45" t="s">
        <v>166</v>
      </c>
      <c r="M5" s="45" t="s">
        <v>167</v>
      </c>
    </row>
    <row r="6" customFormat="false" ht="60" hidden="false" customHeight="true" outlineLevel="0" collapsed="false">
      <c r="A6" s="46" t="s">
        <v>298</v>
      </c>
      <c r="B6" s="46" t="s">
        <v>299</v>
      </c>
      <c r="C6" s="46" t="s">
        <v>300</v>
      </c>
      <c r="D6" s="46" t="s">
        <v>301</v>
      </c>
      <c r="E6" s="46" t="s">
        <v>302</v>
      </c>
      <c r="F6" s="53"/>
      <c r="G6" s="49"/>
      <c r="H6" s="46" t="s">
        <v>10</v>
      </c>
      <c r="I6" s="46" t="s">
        <v>303</v>
      </c>
      <c r="J6" s="46" t="s">
        <v>304</v>
      </c>
      <c r="K6" s="46" t="s">
        <v>305</v>
      </c>
      <c r="L6" s="46" t="s">
        <v>306</v>
      </c>
      <c r="M6" s="46" t="s">
        <v>307</v>
      </c>
    </row>
    <row r="7" customFormat="false" ht="60" hidden="false" customHeight="true" outlineLevel="0" collapsed="false">
      <c r="A7" s="50" t="s">
        <v>308</v>
      </c>
      <c r="B7" s="50" t="s">
        <v>299</v>
      </c>
      <c r="C7" s="50" t="s">
        <v>309</v>
      </c>
      <c r="D7" s="50" t="s">
        <v>310</v>
      </c>
      <c r="E7" s="50" t="s">
        <v>311</v>
      </c>
      <c r="F7" s="53"/>
      <c r="G7" s="49"/>
      <c r="H7" s="50" t="s">
        <v>70</v>
      </c>
      <c r="I7" s="50" t="s">
        <v>303</v>
      </c>
      <c r="J7" s="50" t="s">
        <v>215</v>
      </c>
      <c r="K7" s="50" t="s">
        <v>312</v>
      </c>
      <c r="L7" s="50" t="s">
        <v>217</v>
      </c>
      <c r="M7" s="50" t="s">
        <v>218</v>
      </c>
    </row>
    <row r="8" customFormat="false" ht="60" hidden="false" customHeight="true" outlineLevel="0" collapsed="false">
      <c r="A8" s="46" t="s">
        <v>313</v>
      </c>
      <c r="B8" s="46" t="s">
        <v>299</v>
      </c>
      <c r="C8" s="46" t="s">
        <v>314</v>
      </c>
      <c r="D8" s="46" t="s">
        <v>315</v>
      </c>
      <c r="E8" s="46" t="s">
        <v>316</v>
      </c>
      <c r="F8" s="53"/>
      <c r="G8" s="49"/>
      <c r="H8" s="46" t="s">
        <v>214</v>
      </c>
      <c r="I8" s="46" t="s">
        <v>303</v>
      </c>
      <c r="J8" s="46" t="s">
        <v>172</v>
      </c>
      <c r="K8" s="46" t="s">
        <v>317</v>
      </c>
      <c r="L8" s="46" t="s">
        <v>318</v>
      </c>
      <c r="M8" s="46" t="s">
        <v>319</v>
      </c>
    </row>
    <row r="9" customFormat="false" ht="60" hidden="false" customHeight="true" outlineLevel="0" collapsed="false">
      <c r="A9" s="50" t="s">
        <v>320</v>
      </c>
      <c r="B9" s="50" t="s">
        <v>119</v>
      </c>
      <c r="C9" s="50" t="s">
        <v>321</v>
      </c>
      <c r="D9" s="50" t="s">
        <v>322</v>
      </c>
      <c r="E9" s="50" t="s">
        <v>323</v>
      </c>
      <c r="F9" s="54"/>
      <c r="G9" s="49"/>
      <c r="H9" s="50" t="s">
        <v>10</v>
      </c>
      <c r="I9" s="50" t="s">
        <v>303</v>
      </c>
      <c r="J9" s="50" t="s">
        <v>304</v>
      </c>
      <c r="K9" s="50" t="s">
        <v>324</v>
      </c>
      <c r="L9" s="50" t="s">
        <v>325</v>
      </c>
      <c r="M9" s="50" t="s">
        <v>326</v>
      </c>
    </row>
    <row r="10" customFormat="false" ht="60" hidden="false" customHeight="true" outlineLevel="0" collapsed="false">
      <c r="A10" s="46" t="s">
        <v>327</v>
      </c>
      <c r="B10" s="46" t="s">
        <v>55</v>
      </c>
      <c r="C10" s="46" t="s">
        <v>328</v>
      </c>
      <c r="D10" s="46" t="s">
        <v>329</v>
      </c>
      <c r="E10" s="46" t="s">
        <v>330</v>
      </c>
      <c r="F10" s="49"/>
      <c r="G10" s="49"/>
      <c r="H10" s="46" t="s">
        <v>60</v>
      </c>
      <c r="I10" s="46" t="s">
        <v>303</v>
      </c>
      <c r="J10" s="46" t="s">
        <v>172</v>
      </c>
      <c r="K10" s="46" t="s">
        <v>331</v>
      </c>
      <c r="L10" s="46" t="s">
        <v>203</v>
      </c>
      <c r="M10" s="46" t="s">
        <v>332</v>
      </c>
    </row>
    <row r="11" customFormat="false" ht="60" hidden="false" customHeight="true" outlineLevel="0" collapsed="false">
      <c r="A11" s="50" t="s">
        <v>333</v>
      </c>
      <c r="B11" s="50" t="s">
        <v>334</v>
      </c>
      <c r="C11" s="50" t="s">
        <v>335</v>
      </c>
      <c r="D11" s="50" t="s">
        <v>336</v>
      </c>
      <c r="E11" s="50" t="s">
        <v>337</v>
      </c>
      <c r="F11" s="54"/>
      <c r="G11" s="49"/>
      <c r="H11" s="50" t="s">
        <v>60</v>
      </c>
      <c r="I11" s="50" t="s">
        <v>303</v>
      </c>
      <c r="J11" s="50" t="s">
        <v>172</v>
      </c>
      <c r="K11" s="50" t="s">
        <v>338</v>
      </c>
      <c r="L11" s="50" t="s">
        <v>203</v>
      </c>
      <c r="M11" s="50" t="s">
        <v>326</v>
      </c>
    </row>
    <row r="12" customFormat="false" ht="60" hidden="false" customHeight="true" outlineLevel="0" collapsed="false">
      <c r="A12" s="46" t="s">
        <v>339</v>
      </c>
      <c r="B12" s="46" t="s">
        <v>340</v>
      </c>
      <c r="C12" s="46" t="s">
        <v>341</v>
      </c>
      <c r="D12" s="46" t="s">
        <v>342</v>
      </c>
      <c r="E12" s="46" t="s">
        <v>343</v>
      </c>
      <c r="F12" s="49"/>
      <c r="G12" s="49"/>
      <c r="H12" s="46" t="s">
        <v>344</v>
      </c>
      <c r="I12" s="46" t="s">
        <v>303</v>
      </c>
      <c r="J12" s="46" t="s">
        <v>304</v>
      </c>
      <c r="K12" s="46" t="s">
        <v>345</v>
      </c>
      <c r="L12" s="46" t="s">
        <v>346</v>
      </c>
      <c r="M12" s="46" t="s">
        <v>280</v>
      </c>
    </row>
    <row r="13" customFormat="false" ht="60" hidden="false" customHeight="true" outlineLevel="0" collapsed="false">
      <c r="A13" s="50" t="s">
        <v>347</v>
      </c>
      <c r="B13" s="50" t="s">
        <v>83</v>
      </c>
      <c r="C13" s="50" t="s">
        <v>348</v>
      </c>
      <c r="D13" s="50" t="s">
        <v>257</v>
      </c>
      <c r="E13" s="50" t="s">
        <v>349</v>
      </c>
      <c r="F13" s="54"/>
      <c r="G13" s="49"/>
      <c r="H13" s="50" t="s">
        <v>350</v>
      </c>
      <c r="I13" s="50" t="s">
        <v>303</v>
      </c>
      <c r="J13" s="50" t="s">
        <v>351</v>
      </c>
      <c r="K13" s="50" t="s">
        <v>352</v>
      </c>
      <c r="L13" s="50" t="s">
        <v>253</v>
      </c>
      <c r="M13" s="50" t="s">
        <v>257</v>
      </c>
    </row>
    <row r="14" customFormat="false" ht="60" hidden="false" customHeight="true" outlineLevel="0" collapsed="false">
      <c r="A14" s="46" t="s">
        <v>353</v>
      </c>
      <c r="B14" s="46" t="s">
        <v>91</v>
      </c>
      <c r="C14" s="46" t="s">
        <v>354</v>
      </c>
      <c r="D14" s="46" t="s">
        <v>355</v>
      </c>
      <c r="E14" s="46" t="s">
        <v>356</v>
      </c>
      <c r="F14" s="54"/>
      <c r="G14" s="49"/>
      <c r="H14" s="46" t="s">
        <v>357</v>
      </c>
      <c r="I14" s="46" t="s">
        <v>303</v>
      </c>
      <c r="J14" s="46" t="s">
        <v>245</v>
      </c>
      <c r="K14" s="46" t="s">
        <v>358</v>
      </c>
      <c r="L14" s="46" t="s">
        <v>253</v>
      </c>
      <c r="M14" s="46" t="s">
        <v>355</v>
      </c>
    </row>
    <row r="15" customFormat="false" ht="60" hidden="false" customHeight="true" outlineLevel="0" collapsed="false">
      <c r="A15" s="50" t="s">
        <v>359</v>
      </c>
      <c r="B15" s="50" t="s">
        <v>360</v>
      </c>
      <c r="C15" s="50" t="s">
        <v>361</v>
      </c>
      <c r="D15" s="50" t="s">
        <v>362</v>
      </c>
      <c r="E15" s="50" t="s">
        <v>363</v>
      </c>
      <c r="F15" s="53"/>
      <c r="G15" s="49"/>
      <c r="H15" s="50" t="s">
        <v>108</v>
      </c>
      <c r="I15" s="50" t="s">
        <v>303</v>
      </c>
      <c r="J15" s="50" t="s">
        <v>304</v>
      </c>
      <c r="K15" s="50" t="s">
        <v>364</v>
      </c>
      <c r="L15" s="50" t="s">
        <v>239</v>
      </c>
      <c r="M15" s="50" t="s">
        <v>239</v>
      </c>
    </row>
    <row r="16" customFormat="false" ht="60" hidden="false" customHeight="true" outlineLevel="0" collapsed="false">
      <c r="A16" s="46" t="s">
        <v>365</v>
      </c>
      <c r="B16" s="46" t="s">
        <v>366</v>
      </c>
      <c r="C16" s="46" t="s">
        <v>367</v>
      </c>
      <c r="D16" s="46" t="s">
        <v>368</v>
      </c>
      <c r="E16" s="46" t="s">
        <v>369</v>
      </c>
      <c r="F16" s="54"/>
      <c r="G16" s="49"/>
      <c r="H16" s="46" t="s">
        <v>70</v>
      </c>
      <c r="I16" s="46" t="s">
        <v>303</v>
      </c>
      <c r="J16" s="46" t="s">
        <v>215</v>
      </c>
      <c r="K16" s="46" t="s">
        <v>370</v>
      </c>
      <c r="L16" s="46" t="s">
        <v>203</v>
      </c>
      <c r="M16" s="46" t="s">
        <v>204</v>
      </c>
    </row>
  </sheetData>
  <autoFilter ref="A5:M5"/>
  <mergeCells count="3">
    <mergeCell ref="A1:M1"/>
    <mergeCell ref="A2:M2"/>
    <mergeCell ref="A3:M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38"/>
    <col collapsed="false" customWidth="true" hidden="false" outlineLevel="0" max="4" min="4" style="1" width="20"/>
    <col collapsed="false" customWidth="true" hidden="false" outlineLevel="0" max="5" min="5" style="1" width="35"/>
    <col collapsed="false" customWidth="true" hidden="false" outlineLevel="0" max="6" min="6" style="1" width="28"/>
    <col collapsed="false" customWidth="true" hidden="false" outlineLevel="0" max="7" min="7" style="1" width="30"/>
    <col collapsed="false" customWidth="true" hidden="false" outlineLevel="0" max="8" min="8" style="1" width="22"/>
    <col collapsed="false" customWidth="true" hidden="false" outlineLevel="0" max="10" min="9" style="1" width="13"/>
    <col collapsed="false" customWidth="true" hidden="false" outlineLevel="0" max="11" min="11" style="1" width="28"/>
    <col collapsed="false" customWidth="true" hidden="false" outlineLevel="0" max="13" min="12" style="1" width="12"/>
  </cols>
  <sheetData>
    <row r="1" customFormat="false" ht="42" hidden="false" customHeight="true" outlineLevel="0" collapsed="false">
      <c r="A1" s="44" t="s">
        <v>371</v>
      </c>
      <c r="B1" s="44"/>
      <c r="C1" s="44"/>
      <c r="D1" s="44"/>
      <c r="E1" s="44"/>
      <c r="F1" s="44"/>
      <c r="G1" s="44"/>
      <c r="H1" s="44"/>
      <c r="I1" s="44"/>
      <c r="J1" s="44"/>
      <c r="K1" s="44"/>
      <c r="L1" s="44"/>
      <c r="M1" s="44"/>
    </row>
    <row r="2" customFormat="false" ht="21.75" hidden="false" customHeight="true" outlineLevel="0" collapsed="false">
      <c r="A2" s="3" t="s">
        <v>372</v>
      </c>
      <c r="B2" s="3"/>
      <c r="C2" s="3"/>
      <c r="D2" s="3"/>
      <c r="E2" s="3"/>
      <c r="F2" s="3"/>
      <c r="G2" s="3"/>
      <c r="H2" s="3"/>
      <c r="I2" s="3"/>
      <c r="J2" s="3"/>
      <c r="K2" s="3"/>
      <c r="L2" s="3"/>
      <c r="M2" s="3"/>
    </row>
    <row r="3" customFormat="false" ht="18" hidden="false" customHeight="true" outlineLevel="0" collapsed="false">
      <c r="A3" s="4"/>
      <c r="B3" s="4"/>
      <c r="C3" s="4"/>
      <c r="D3" s="4"/>
      <c r="E3" s="4"/>
      <c r="F3" s="4"/>
      <c r="G3" s="4"/>
      <c r="H3" s="4"/>
      <c r="I3" s="4"/>
      <c r="J3" s="4"/>
      <c r="K3" s="4"/>
      <c r="L3" s="4"/>
      <c r="M3" s="4"/>
    </row>
    <row r="5" customFormat="false" ht="36" hidden="false" customHeight="true" outlineLevel="0" collapsed="false">
      <c r="A5" s="45" t="s">
        <v>373</v>
      </c>
      <c r="B5" s="45" t="s">
        <v>41</v>
      </c>
      <c r="C5" s="45" t="s">
        <v>374</v>
      </c>
      <c r="D5" s="45" t="s">
        <v>160</v>
      </c>
      <c r="E5" s="45" t="s">
        <v>375</v>
      </c>
      <c r="F5" s="45" t="s">
        <v>376</v>
      </c>
      <c r="G5" s="45" t="s">
        <v>377</v>
      </c>
      <c r="H5" s="45" t="s">
        <v>378</v>
      </c>
      <c r="I5" s="45" t="s">
        <v>379</v>
      </c>
      <c r="J5" s="45" t="s">
        <v>380</v>
      </c>
      <c r="K5" s="45" t="s">
        <v>381</v>
      </c>
      <c r="L5" s="45" t="s">
        <v>166</v>
      </c>
      <c r="M5" s="45" t="s">
        <v>167</v>
      </c>
    </row>
    <row r="6" customFormat="false" ht="64.5" hidden="false" customHeight="true" outlineLevel="0" collapsed="false">
      <c r="A6" s="46" t="s">
        <v>382</v>
      </c>
      <c r="B6" s="46" t="s">
        <v>383</v>
      </c>
      <c r="C6" s="46" t="s">
        <v>384</v>
      </c>
      <c r="D6" s="46" t="s">
        <v>385</v>
      </c>
      <c r="E6" s="46" t="s">
        <v>386</v>
      </c>
      <c r="F6" s="55" t="s">
        <v>387</v>
      </c>
      <c r="G6" s="46" t="s">
        <v>388</v>
      </c>
      <c r="H6" s="46" t="s">
        <v>344</v>
      </c>
      <c r="I6" s="46" t="s">
        <v>304</v>
      </c>
      <c r="J6" s="46" t="s">
        <v>280</v>
      </c>
      <c r="K6" s="46" t="s">
        <v>389</v>
      </c>
      <c r="L6" s="46" t="s">
        <v>390</v>
      </c>
      <c r="M6" s="46" t="s">
        <v>280</v>
      </c>
    </row>
    <row r="7" customFormat="false" ht="64.5" hidden="false" customHeight="true" outlineLevel="0" collapsed="false">
      <c r="A7" s="50" t="s">
        <v>391</v>
      </c>
      <c r="B7" s="50" t="s">
        <v>234</v>
      </c>
      <c r="C7" s="50" t="s">
        <v>392</v>
      </c>
      <c r="D7" s="50" t="s">
        <v>393</v>
      </c>
      <c r="E7" s="50" t="s">
        <v>394</v>
      </c>
      <c r="F7" s="55" t="s">
        <v>395</v>
      </c>
      <c r="G7" s="50" t="s">
        <v>396</v>
      </c>
      <c r="H7" s="50" t="s">
        <v>60</v>
      </c>
      <c r="I7" s="50" t="s">
        <v>172</v>
      </c>
      <c r="J7" s="50" t="s">
        <v>280</v>
      </c>
      <c r="K7" s="50" t="s">
        <v>397</v>
      </c>
      <c r="L7" s="50" t="s">
        <v>280</v>
      </c>
      <c r="M7" s="50" t="s">
        <v>190</v>
      </c>
    </row>
    <row r="8" customFormat="false" ht="64.5" hidden="false" customHeight="true" outlineLevel="0" collapsed="false">
      <c r="A8" s="46" t="s">
        <v>398</v>
      </c>
      <c r="B8" s="46" t="s">
        <v>119</v>
      </c>
      <c r="C8" s="46" t="s">
        <v>399</v>
      </c>
      <c r="D8" s="46" t="s">
        <v>400</v>
      </c>
      <c r="E8" s="46" t="s">
        <v>401</v>
      </c>
      <c r="F8" s="55" t="s">
        <v>402</v>
      </c>
      <c r="G8" s="46" t="s">
        <v>403</v>
      </c>
      <c r="H8" s="46" t="s">
        <v>10</v>
      </c>
      <c r="I8" s="46" t="s">
        <v>304</v>
      </c>
      <c r="J8" s="46" t="s">
        <v>280</v>
      </c>
      <c r="K8" s="46" t="s">
        <v>404</v>
      </c>
      <c r="L8" s="46" t="s">
        <v>405</v>
      </c>
      <c r="M8" s="46" t="s">
        <v>326</v>
      </c>
    </row>
    <row r="9" customFormat="false" ht="64.5" hidden="false" customHeight="true" outlineLevel="0" collapsed="false">
      <c r="A9" s="50" t="s">
        <v>406</v>
      </c>
      <c r="B9" s="50" t="s">
        <v>83</v>
      </c>
      <c r="C9" s="50" t="s">
        <v>407</v>
      </c>
      <c r="D9" s="50" t="s">
        <v>408</v>
      </c>
      <c r="E9" s="50" t="s">
        <v>409</v>
      </c>
      <c r="F9" s="55" t="s">
        <v>410</v>
      </c>
      <c r="G9" s="50" t="s">
        <v>411</v>
      </c>
      <c r="H9" s="50" t="s">
        <v>350</v>
      </c>
      <c r="I9" s="50" t="s">
        <v>351</v>
      </c>
      <c r="J9" s="50" t="s">
        <v>280</v>
      </c>
      <c r="K9" s="50" t="s">
        <v>412</v>
      </c>
      <c r="L9" s="50" t="s">
        <v>253</v>
      </c>
      <c r="M9" s="50" t="s">
        <v>257</v>
      </c>
    </row>
    <row r="10" customFormat="false" ht="64.5" hidden="false" customHeight="true" outlineLevel="0" collapsed="false">
      <c r="A10" s="46" t="s">
        <v>413</v>
      </c>
      <c r="B10" s="46" t="s">
        <v>55</v>
      </c>
      <c r="C10" s="46" t="s">
        <v>414</v>
      </c>
      <c r="D10" s="46" t="s">
        <v>415</v>
      </c>
      <c r="E10" s="46" t="s">
        <v>416</v>
      </c>
      <c r="F10" s="55" t="s">
        <v>417</v>
      </c>
      <c r="G10" s="46" t="s">
        <v>418</v>
      </c>
      <c r="H10" s="46" t="s">
        <v>419</v>
      </c>
      <c r="I10" s="46" t="s">
        <v>172</v>
      </c>
      <c r="J10" s="46" t="s">
        <v>280</v>
      </c>
      <c r="K10" s="46" t="s">
        <v>420</v>
      </c>
      <c r="L10" s="46" t="s">
        <v>174</v>
      </c>
      <c r="M10" s="46" t="s">
        <v>133</v>
      </c>
    </row>
    <row r="11" customFormat="false" ht="64.5" hidden="false" customHeight="true" outlineLevel="0" collapsed="false">
      <c r="A11" s="50" t="s">
        <v>421</v>
      </c>
      <c r="B11" s="50" t="s">
        <v>131</v>
      </c>
      <c r="C11" s="50" t="s">
        <v>422</v>
      </c>
      <c r="D11" s="50" t="s">
        <v>423</v>
      </c>
      <c r="E11" s="50" t="s">
        <v>424</v>
      </c>
      <c r="F11" s="55" t="s">
        <v>425</v>
      </c>
      <c r="G11" s="50" t="s">
        <v>426</v>
      </c>
      <c r="H11" s="50" t="s">
        <v>60</v>
      </c>
      <c r="I11" s="50" t="s">
        <v>172</v>
      </c>
      <c r="J11" s="50" t="s">
        <v>280</v>
      </c>
      <c r="K11" s="50" t="s">
        <v>427</v>
      </c>
      <c r="L11" s="50" t="s">
        <v>189</v>
      </c>
      <c r="M11" s="50" t="s">
        <v>196</v>
      </c>
    </row>
    <row r="12" customFormat="false" ht="64.5" hidden="false" customHeight="true" outlineLevel="0" collapsed="false">
      <c r="A12" s="46" t="s">
        <v>428</v>
      </c>
      <c r="B12" s="46" t="s">
        <v>4</v>
      </c>
      <c r="C12" s="46" t="s">
        <v>429</v>
      </c>
      <c r="D12" s="46" t="s">
        <v>430</v>
      </c>
      <c r="E12" s="46" t="s">
        <v>431</v>
      </c>
      <c r="F12" s="55" t="s">
        <v>432</v>
      </c>
      <c r="G12" s="46" t="s">
        <v>433</v>
      </c>
      <c r="H12" s="46" t="s">
        <v>10</v>
      </c>
      <c r="I12" s="46" t="s">
        <v>172</v>
      </c>
      <c r="J12" s="46" t="s">
        <v>280</v>
      </c>
      <c r="K12" s="46" t="s">
        <v>434</v>
      </c>
      <c r="L12" s="46" t="s">
        <v>253</v>
      </c>
      <c r="M12" s="46" t="s">
        <v>355</v>
      </c>
    </row>
    <row r="13" customFormat="false" ht="64.5" hidden="false" customHeight="true" outlineLevel="0" collapsed="false">
      <c r="A13" s="50" t="s">
        <v>435</v>
      </c>
      <c r="B13" s="50" t="s">
        <v>366</v>
      </c>
      <c r="C13" s="50" t="s">
        <v>436</v>
      </c>
      <c r="D13" s="50" t="s">
        <v>437</v>
      </c>
      <c r="E13" s="50" t="s">
        <v>438</v>
      </c>
      <c r="F13" s="55" t="s">
        <v>439</v>
      </c>
      <c r="G13" s="50" t="s">
        <v>440</v>
      </c>
      <c r="H13" s="50" t="s">
        <v>441</v>
      </c>
      <c r="I13" s="50" t="s">
        <v>215</v>
      </c>
      <c r="J13" s="50" t="s">
        <v>280</v>
      </c>
      <c r="K13" s="50" t="s">
        <v>442</v>
      </c>
      <c r="L13" s="50" t="s">
        <v>203</v>
      </c>
      <c r="M13" s="50" t="s">
        <v>204</v>
      </c>
    </row>
    <row r="14" customFormat="false" ht="64.5" hidden="false" customHeight="true" outlineLevel="0" collapsed="false">
      <c r="A14" s="46" t="s">
        <v>443</v>
      </c>
      <c r="B14" s="46" t="s">
        <v>340</v>
      </c>
      <c r="C14" s="46" t="s">
        <v>444</v>
      </c>
      <c r="D14" s="46" t="s">
        <v>445</v>
      </c>
      <c r="E14" s="46" t="s">
        <v>446</v>
      </c>
      <c r="F14" s="55" t="s">
        <v>447</v>
      </c>
      <c r="G14" s="46" t="s">
        <v>448</v>
      </c>
      <c r="H14" s="46" t="s">
        <v>344</v>
      </c>
      <c r="I14" s="46" t="s">
        <v>304</v>
      </c>
      <c r="J14" s="46" t="s">
        <v>280</v>
      </c>
      <c r="K14" s="46" t="s">
        <v>449</v>
      </c>
      <c r="L14" s="46" t="s">
        <v>450</v>
      </c>
      <c r="M14" s="46" t="s">
        <v>280</v>
      </c>
    </row>
    <row r="15" customFormat="false" ht="64.5" hidden="false" customHeight="true" outlineLevel="0" collapsed="false">
      <c r="A15" s="50" t="s">
        <v>451</v>
      </c>
      <c r="B15" s="50" t="s">
        <v>91</v>
      </c>
      <c r="C15" s="50" t="s">
        <v>452</v>
      </c>
      <c r="D15" s="50" t="s">
        <v>453</v>
      </c>
      <c r="E15" s="50" t="s">
        <v>454</v>
      </c>
      <c r="F15" s="55" t="s">
        <v>455</v>
      </c>
      <c r="G15" s="50" t="s">
        <v>456</v>
      </c>
      <c r="H15" s="50" t="s">
        <v>145</v>
      </c>
      <c r="I15" s="50" t="s">
        <v>351</v>
      </c>
      <c r="J15" s="50" t="s">
        <v>280</v>
      </c>
      <c r="K15" s="50" t="s">
        <v>457</v>
      </c>
      <c r="L15" s="50" t="s">
        <v>189</v>
      </c>
      <c r="M15" s="50" t="s">
        <v>204</v>
      </c>
    </row>
    <row r="16" customFormat="false" ht="64.5" hidden="false" customHeight="true" outlineLevel="0" collapsed="false">
      <c r="A16" s="46" t="s">
        <v>458</v>
      </c>
      <c r="B16" s="46" t="s">
        <v>459</v>
      </c>
      <c r="C16" s="46" t="s">
        <v>460</v>
      </c>
      <c r="D16" s="46" t="s">
        <v>461</v>
      </c>
      <c r="E16" s="46" t="s">
        <v>462</v>
      </c>
      <c r="F16" s="55" t="s">
        <v>463</v>
      </c>
      <c r="G16" s="46" t="s">
        <v>464</v>
      </c>
      <c r="H16" s="46" t="s">
        <v>70</v>
      </c>
      <c r="I16" s="46" t="s">
        <v>215</v>
      </c>
      <c r="J16" s="46" t="s">
        <v>280</v>
      </c>
      <c r="K16" s="46" t="s">
        <v>465</v>
      </c>
      <c r="L16" s="46" t="s">
        <v>239</v>
      </c>
      <c r="M16" s="46" t="s">
        <v>280</v>
      </c>
    </row>
    <row r="17" customFormat="false" ht="64.5" hidden="false" customHeight="true" outlineLevel="0" collapsed="false">
      <c r="A17" s="50" t="s">
        <v>466</v>
      </c>
      <c r="B17" s="50" t="s">
        <v>467</v>
      </c>
      <c r="C17" s="50" t="s">
        <v>468</v>
      </c>
      <c r="D17" s="50" t="s">
        <v>469</v>
      </c>
      <c r="E17" s="50" t="s">
        <v>470</v>
      </c>
      <c r="F17" s="55" t="s">
        <v>439</v>
      </c>
      <c r="G17" s="50" t="s">
        <v>471</v>
      </c>
      <c r="H17" s="50" t="s">
        <v>441</v>
      </c>
      <c r="I17" s="50" t="s">
        <v>215</v>
      </c>
      <c r="J17" s="50" t="s">
        <v>280</v>
      </c>
      <c r="K17" s="50" t="s">
        <v>472</v>
      </c>
      <c r="L17" s="50" t="s">
        <v>217</v>
      </c>
      <c r="M17" s="50" t="s">
        <v>326</v>
      </c>
    </row>
  </sheetData>
  <autoFilter ref="A5:M5"/>
  <mergeCells count="3">
    <mergeCell ref="A1:M1"/>
    <mergeCell ref="A2:M2"/>
    <mergeCell ref="A3:M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1" width="18"/>
  </cols>
  <sheetData>
    <row r="1" customFormat="false" ht="42" hidden="false" customHeight="true" outlineLevel="0" collapsed="false">
      <c r="A1" s="44" t="s">
        <v>473</v>
      </c>
      <c r="B1" s="44"/>
      <c r="C1" s="44"/>
      <c r="D1" s="44"/>
      <c r="E1" s="44"/>
      <c r="F1" s="44"/>
      <c r="G1" s="44"/>
      <c r="H1" s="44"/>
      <c r="I1" s="44"/>
      <c r="J1" s="44"/>
    </row>
    <row r="2" customFormat="false" ht="21.75" hidden="false" customHeight="true" outlineLevel="0" collapsed="false">
      <c r="A2" s="3" t="s">
        <v>474</v>
      </c>
      <c r="B2" s="3"/>
      <c r="C2" s="3"/>
      <c r="D2" s="3"/>
      <c r="E2" s="3"/>
      <c r="F2" s="3"/>
      <c r="G2" s="3"/>
      <c r="H2" s="3"/>
      <c r="I2" s="3"/>
      <c r="J2" s="3"/>
    </row>
    <row r="3" customFormat="false" ht="18" hidden="false" customHeight="true" outlineLevel="0" collapsed="false">
      <c r="A3" s="4"/>
      <c r="B3" s="4"/>
      <c r="C3" s="4"/>
      <c r="D3" s="4"/>
      <c r="E3" s="4"/>
      <c r="F3" s="4"/>
      <c r="G3" s="4"/>
      <c r="H3" s="4"/>
      <c r="I3" s="4"/>
      <c r="J3" s="4"/>
    </row>
    <row r="5" customFormat="false" ht="30" hidden="false" customHeight="true" outlineLevel="0" collapsed="false">
      <c r="A5" s="56" t="s">
        <v>475</v>
      </c>
      <c r="B5" s="56"/>
      <c r="C5" s="56"/>
      <c r="D5" s="56"/>
      <c r="E5" s="56"/>
      <c r="F5" s="56"/>
      <c r="G5" s="56"/>
      <c r="H5" s="56"/>
      <c r="I5" s="56"/>
      <c r="J5" s="56"/>
    </row>
    <row r="6" customFormat="false" ht="36" hidden="false" customHeight="true" outlineLevel="0" collapsed="false">
      <c r="B6" s="57"/>
      <c r="C6" s="57" t="s">
        <v>476</v>
      </c>
      <c r="D6" s="57" t="s">
        <v>477</v>
      </c>
      <c r="E6" s="57" t="s">
        <v>478</v>
      </c>
      <c r="F6" s="57" t="s">
        <v>479</v>
      </c>
      <c r="G6" s="57" t="s">
        <v>480</v>
      </c>
    </row>
    <row r="7" customFormat="false" ht="49.5" hidden="false" customHeight="true" outlineLevel="0" collapsed="false">
      <c r="A7" s="58" t="s">
        <v>481</v>
      </c>
      <c r="B7" s="59" t="s">
        <v>482</v>
      </c>
      <c r="C7" s="60" t="s">
        <v>59</v>
      </c>
      <c r="D7" s="60" t="s">
        <v>483</v>
      </c>
      <c r="E7" s="61" t="s">
        <v>484</v>
      </c>
      <c r="F7" s="61" t="s">
        <v>485</v>
      </c>
      <c r="G7" s="62" t="s">
        <v>486</v>
      </c>
    </row>
    <row r="8" customFormat="false" ht="49.5" hidden="false" customHeight="true" outlineLevel="0" collapsed="false">
      <c r="A8" s="58"/>
      <c r="B8" s="59" t="s">
        <v>487</v>
      </c>
      <c r="C8" s="63" t="s">
        <v>58</v>
      </c>
      <c r="D8" s="60" t="s">
        <v>488</v>
      </c>
      <c r="E8" s="60" t="s">
        <v>489</v>
      </c>
      <c r="F8" s="64" t="s">
        <v>490</v>
      </c>
      <c r="G8" s="64" t="s">
        <v>491</v>
      </c>
    </row>
    <row r="9" customFormat="false" ht="49.5" hidden="false" customHeight="true" outlineLevel="0" collapsed="false">
      <c r="A9" s="58"/>
      <c r="B9" s="59" t="s">
        <v>492</v>
      </c>
      <c r="C9" s="63" t="s">
        <v>69</v>
      </c>
      <c r="D9" s="63" t="s">
        <v>493</v>
      </c>
      <c r="E9" s="65" t="s">
        <v>494</v>
      </c>
      <c r="F9" s="65" t="s">
        <v>495</v>
      </c>
      <c r="G9" s="64" t="s">
        <v>496</v>
      </c>
    </row>
    <row r="10" customFormat="false" ht="49.5" hidden="false" customHeight="true" outlineLevel="0" collapsed="false">
      <c r="A10" s="58"/>
      <c r="B10" s="59" t="s">
        <v>497</v>
      </c>
      <c r="C10" s="66" t="s">
        <v>86</v>
      </c>
      <c r="D10" s="63" t="s">
        <v>58</v>
      </c>
      <c r="E10" s="67" t="s">
        <v>498</v>
      </c>
      <c r="F10" s="65" t="s">
        <v>499</v>
      </c>
      <c r="G10" s="65" t="s">
        <v>500</v>
      </c>
    </row>
    <row r="11" customFormat="false" ht="49.5" hidden="false" customHeight="true" outlineLevel="0" collapsed="false">
      <c r="A11" s="58"/>
      <c r="B11" s="59" t="s">
        <v>501</v>
      </c>
      <c r="C11" s="66" t="s">
        <v>152</v>
      </c>
      <c r="D11" s="66" t="s">
        <v>86</v>
      </c>
      <c r="E11" s="63" t="s">
        <v>69</v>
      </c>
      <c r="F11" s="67" t="s">
        <v>502</v>
      </c>
      <c r="G11" s="60" t="s">
        <v>59</v>
      </c>
    </row>
    <row r="14" customFormat="false" ht="19.5" hidden="false" customHeight="true" outlineLevel="0" collapsed="false">
      <c r="B14" s="68" t="s">
        <v>503</v>
      </c>
      <c r="C14" s="68"/>
    </row>
    <row r="15" customFormat="false" ht="18" hidden="false" customHeight="true" outlineLevel="0" collapsed="false">
      <c r="B15" s="69" t="s">
        <v>504</v>
      </c>
      <c r="C15" s="69"/>
      <c r="D15" s="69"/>
    </row>
    <row r="16" customFormat="false" ht="18" hidden="false" customHeight="true" outlineLevel="0" collapsed="false">
      <c r="B16" s="70" t="s">
        <v>505</v>
      </c>
      <c r="C16" s="70"/>
      <c r="D16" s="70"/>
    </row>
    <row r="17" customFormat="false" ht="18" hidden="false" customHeight="true" outlineLevel="0" collapsed="false">
      <c r="B17" s="71" t="s">
        <v>506</v>
      </c>
      <c r="C17" s="71"/>
      <c r="D17" s="71"/>
    </row>
    <row r="18" customFormat="false" ht="18" hidden="false" customHeight="true" outlineLevel="0" collapsed="false">
      <c r="B18" s="72" t="s">
        <v>507</v>
      </c>
      <c r="C18" s="72"/>
      <c r="D18" s="72"/>
    </row>
  </sheetData>
  <mergeCells count="10">
    <mergeCell ref="A1:J1"/>
    <mergeCell ref="A2:J2"/>
    <mergeCell ref="A3:J3"/>
    <mergeCell ref="A5:J5"/>
    <mergeCell ref="A7:A11"/>
    <mergeCell ref="B14:C14"/>
    <mergeCell ref="B15:D15"/>
    <mergeCell ref="B16:D16"/>
    <mergeCell ref="B17:D17"/>
    <mergeCell ref="B18: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2026-04-22T21:30:18Z</dcterms:created>
  <dc:creator>openpyxl</dc:creator>
  <dc:description/>
  <dc:language>en-US</dc:language>
  <cp:lastModifiedBy/>
  <dcterms:modified xsi:type="dcterms:W3CDTF">2026-04-22T21:36:04Z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